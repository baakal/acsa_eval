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HQ backup 3rd Jan 2024\Official\ACSA meeting Addis Feb 2026\ACSA Meeting Harare\Evaluation Matrix\July 2026\With B &amp; A comments 9 July\Shared with B and A\"/>
    </mc:Choice>
  </mc:AlternateContent>
  <xr:revisionPtr revIDLastSave="0" documentId="13_ncr:1_{2C39189C-91DD-45C2-89DC-1566818F8B98}" xr6:coauthVersionLast="47" xr6:coauthVersionMax="47" xr10:uidLastSave="{00000000-0000-0000-0000-000000000000}"/>
  <bookViews>
    <workbookView xWindow="-110" yWindow="-110" windowWidth="19420" windowHeight="11500" xr2:uid="{00000000-000D-0000-FFFF-FFFF00000000}"/>
  </bookViews>
  <sheets>
    <sheet name="Instructions " sheetId="5" r:id="rId1"/>
    <sheet name="Master Requirements Catalogue" sheetId="1" r:id="rId2"/>
    <sheet name="Catalogue Summary" sheetId="2" r:id="rId3"/>
    <sheet name="Taxonomy Sheet" sheetId="3" r:id="rId4"/>
    <sheet name="Analytics" sheetId="4" r:id="rId5"/>
  </sheets>
  <definedNames>
    <definedName name="_xlnm._FilterDatabase" localSheetId="2" hidden="1">'Catalogue Summary'!$A$1:$B$7</definedName>
    <definedName name="_xlnm._FilterDatabase" localSheetId="1" hidden="1">'Master Requirements Catalogue'!$A$12:$F$220</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4" l="1"/>
  <c r="F39" i="4"/>
  <c r="E39" i="4"/>
  <c r="D39" i="4"/>
  <c r="C39" i="4"/>
  <c r="G37" i="4"/>
  <c r="F37" i="4"/>
  <c r="E37" i="4"/>
  <c r="D37" i="4"/>
  <c r="C37" i="4"/>
  <c r="G35" i="4"/>
  <c r="F35" i="4"/>
  <c r="E35" i="4"/>
  <c r="D35" i="4"/>
  <c r="C35" i="4"/>
  <c r="G29" i="4"/>
  <c r="F29" i="4"/>
  <c r="E29" i="4"/>
  <c r="D29" i="4"/>
  <c r="C29" i="4"/>
  <c r="G27" i="4"/>
  <c r="F27" i="4"/>
  <c r="E27" i="4"/>
  <c r="D27" i="4"/>
  <c r="C27" i="4"/>
  <c r="G25" i="4"/>
  <c r="F25" i="4"/>
  <c r="E25" i="4"/>
  <c r="D25" i="4"/>
  <c r="C25" i="4"/>
  <c r="G23" i="4"/>
  <c r="F23" i="4"/>
  <c r="E23" i="4"/>
  <c r="D23" i="4"/>
  <c r="C23" i="4"/>
  <c r="G17" i="4"/>
  <c r="F17" i="4"/>
  <c r="E17" i="4"/>
  <c r="D17" i="4"/>
  <c r="C17" i="4"/>
  <c r="G15" i="4"/>
  <c r="F15" i="4"/>
  <c r="E15" i="4"/>
  <c r="D15" i="4"/>
  <c r="C15" i="4"/>
  <c r="G13" i="4"/>
  <c r="F13" i="4"/>
  <c r="E13" i="4"/>
  <c r="D13" i="4"/>
  <c r="C13" i="4"/>
  <c r="E7" i="4"/>
  <c r="D7" i="4"/>
  <c r="C7" i="4"/>
  <c r="E5" i="4"/>
  <c r="D5" i="4"/>
  <c r="C5" i="4"/>
  <c r="E3" i="4"/>
  <c r="D3" i="4"/>
  <c r="C3" i="4"/>
  <c r="L1011" i="1"/>
  <c r="K1011" i="1"/>
  <c r="L1010" i="1"/>
  <c r="K1010" i="1"/>
  <c r="L1009" i="1"/>
  <c r="K1009" i="1"/>
  <c r="L1008" i="1"/>
  <c r="K1008" i="1"/>
  <c r="L1007" i="1"/>
  <c r="K1007" i="1"/>
  <c r="L1006" i="1"/>
  <c r="K1006" i="1"/>
  <c r="L1005" i="1"/>
  <c r="K1005" i="1"/>
  <c r="L1004" i="1"/>
  <c r="K1004" i="1"/>
  <c r="L1003" i="1"/>
  <c r="K1003" i="1"/>
  <c r="L1002" i="1"/>
  <c r="K1002" i="1"/>
  <c r="L1001" i="1"/>
  <c r="K1001" i="1"/>
  <c r="L1000" i="1"/>
  <c r="K1000" i="1"/>
  <c r="L999" i="1"/>
  <c r="K999" i="1"/>
  <c r="L998" i="1"/>
  <c r="K998" i="1"/>
  <c r="L997" i="1"/>
  <c r="K997" i="1"/>
  <c r="L996" i="1"/>
  <c r="K996" i="1"/>
  <c r="L995" i="1"/>
  <c r="K995" i="1"/>
  <c r="L994" i="1"/>
  <c r="K994" i="1"/>
  <c r="L993" i="1"/>
  <c r="K993" i="1"/>
  <c r="L992" i="1"/>
  <c r="K992" i="1"/>
  <c r="L991" i="1"/>
  <c r="K991" i="1"/>
  <c r="L990" i="1"/>
  <c r="K990" i="1"/>
  <c r="L989" i="1"/>
  <c r="K989" i="1"/>
  <c r="L988" i="1"/>
  <c r="K988" i="1"/>
  <c r="L987" i="1"/>
  <c r="K987" i="1"/>
  <c r="L986" i="1"/>
  <c r="K986" i="1"/>
  <c r="L985" i="1"/>
  <c r="K985" i="1"/>
  <c r="L984" i="1"/>
  <c r="K984" i="1"/>
  <c r="L983" i="1"/>
  <c r="K983" i="1"/>
  <c r="L982" i="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M448" i="1" s="1"/>
  <c r="L447" i="1"/>
  <c r="K447" i="1"/>
  <c r="L446" i="1"/>
  <c r="K446" i="1"/>
  <c r="L445" i="1"/>
  <c r="K445" i="1"/>
  <c r="L444" i="1"/>
  <c r="K444" i="1"/>
  <c r="L443" i="1"/>
  <c r="K443" i="1"/>
  <c r="L442" i="1"/>
  <c r="K442" i="1"/>
  <c r="M442" i="1" s="1"/>
  <c r="L441" i="1"/>
  <c r="K441" i="1"/>
  <c r="L440" i="1"/>
  <c r="K440" i="1"/>
  <c r="L439" i="1"/>
  <c r="K439" i="1"/>
  <c r="L438" i="1"/>
  <c r="K438" i="1"/>
  <c r="L437" i="1"/>
  <c r="K437" i="1"/>
  <c r="L436" i="1"/>
  <c r="K436" i="1"/>
  <c r="M436" i="1" s="1"/>
  <c r="L435" i="1"/>
  <c r="K435" i="1"/>
  <c r="L434" i="1"/>
  <c r="K434" i="1"/>
  <c r="L433" i="1"/>
  <c r="K433" i="1"/>
  <c r="L432" i="1"/>
  <c r="K432" i="1"/>
  <c r="L431" i="1"/>
  <c r="K431" i="1"/>
  <c r="L430" i="1"/>
  <c r="K430" i="1"/>
  <c r="M430" i="1" s="1"/>
  <c r="L429" i="1"/>
  <c r="K429" i="1"/>
  <c r="L428" i="1"/>
  <c r="K428" i="1"/>
  <c r="L427" i="1"/>
  <c r="K427" i="1"/>
  <c r="L426" i="1"/>
  <c r="K426" i="1"/>
  <c r="L425" i="1"/>
  <c r="K425" i="1"/>
  <c r="L424" i="1"/>
  <c r="K424" i="1"/>
  <c r="M424" i="1" s="1"/>
  <c r="L423" i="1"/>
  <c r="K423" i="1"/>
  <c r="L422" i="1"/>
  <c r="K422" i="1"/>
  <c r="L421" i="1"/>
  <c r="K421" i="1"/>
  <c r="L420" i="1"/>
  <c r="K420" i="1"/>
  <c r="L419" i="1"/>
  <c r="K419" i="1"/>
  <c r="L418" i="1"/>
  <c r="K418" i="1"/>
  <c r="M418" i="1" s="1"/>
  <c r="L417" i="1"/>
  <c r="K417" i="1"/>
  <c r="L416" i="1"/>
  <c r="K416" i="1"/>
  <c r="L415" i="1"/>
  <c r="K415" i="1"/>
  <c r="L414" i="1"/>
  <c r="K414" i="1"/>
  <c r="L413" i="1"/>
  <c r="K413" i="1"/>
  <c r="L412" i="1"/>
  <c r="K412" i="1"/>
  <c r="M412" i="1" s="1"/>
  <c r="L411" i="1"/>
  <c r="K411" i="1"/>
  <c r="L410" i="1"/>
  <c r="K410" i="1"/>
  <c r="L409" i="1"/>
  <c r="K409" i="1"/>
  <c r="L408" i="1"/>
  <c r="K408" i="1"/>
  <c r="L407" i="1"/>
  <c r="K407" i="1"/>
  <c r="L406" i="1"/>
  <c r="K406" i="1"/>
  <c r="M406" i="1" s="1"/>
  <c r="L405" i="1"/>
  <c r="K405" i="1"/>
  <c r="L404" i="1"/>
  <c r="K404" i="1"/>
  <c r="L403" i="1"/>
  <c r="K403" i="1"/>
  <c r="L402" i="1"/>
  <c r="K402" i="1"/>
  <c r="L401" i="1"/>
  <c r="K401" i="1"/>
  <c r="L400" i="1"/>
  <c r="K400" i="1"/>
  <c r="M400" i="1" s="1"/>
  <c r="L399" i="1"/>
  <c r="K399" i="1"/>
  <c r="L398" i="1"/>
  <c r="K398" i="1"/>
  <c r="L397" i="1"/>
  <c r="K397" i="1"/>
  <c r="L396" i="1"/>
  <c r="K396" i="1"/>
  <c r="L395" i="1"/>
  <c r="K395" i="1"/>
  <c r="L394" i="1"/>
  <c r="K394" i="1"/>
  <c r="M394" i="1" s="1"/>
  <c r="L393" i="1"/>
  <c r="K393" i="1"/>
  <c r="L392" i="1"/>
  <c r="K392" i="1"/>
  <c r="L391" i="1"/>
  <c r="K391" i="1"/>
  <c r="L390" i="1"/>
  <c r="K390" i="1"/>
  <c r="L389" i="1"/>
  <c r="K389" i="1"/>
  <c r="L388" i="1"/>
  <c r="K388" i="1"/>
  <c r="M388" i="1" s="1"/>
  <c r="L387" i="1"/>
  <c r="K387" i="1"/>
  <c r="L386" i="1"/>
  <c r="K386" i="1"/>
  <c r="L385" i="1"/>
  <c r="K385" i="1"/>
  <c r="L384" i="1"/>
  <c r="K384" i="1"/>
  <c r="L383" i="1"/>
  <c r="K383" i="1"/>
  <c r="L382" i="1"/>
  <c r="K382" i="1"/>
  <c r="M382" i="1" s="1"/>
  <c r="L381" i="1"/>
  <c r="K381" i="1"/>
  <c r="L380" i="1"/>
  <c r="K380" i="1"/>
  <c r="L379" i="1"/>
  <c r="K379" i="1"/>
  <c r="L378" i="1"/>
  <c r="K378" i="1"/>
  <c r="L377" i="1"/>
  <c r="K377" i="1"/>
  <c r="L376" i="1"/>
  <c r="K376" i="1"/>
  <c r="M376" i="1" s="1"/>
  <c r="L375" i="1"/>
  <c r="K375" i="1"/>
  <c r="L374" i="1"/>
  <c r="K374" i="1"/>
  <c r="L373" i="1"/>
  <c r="K373" i="1"/>
  <c r="L372" i="1"/>
  <c r="K372" i="1"/>
  <c r="L371" i="1"/>
  <c r="K371" i="1"/>
  <c r="L370" i="1"/>
  <c r="K370" i="1"/>
  <c r="M370" i="1" s="1"/>
  <c r="L369" i="1"/>
  <c r="K369" i="1"/>
  <c r="L368" i="1"/>
  <c r="K368" i="1"/>
  <c r="L367" i="1"/>
  <c r="K367" i="1"/>
  <c r="L366" i="1"/>
  <c r="K366" i="1"/>
  <c r="L365" i="1"/>
  <c r="K365" i="1"/>
  <c r="L364" i="1"/>
  <c r="K364" i="1"/>
  <c r="M364" i="1" s="1"/>
  <c r="L363" i="1"/>
  <c r="K363" i="1"/>
  <c r="L362" i="1"/>
  <c r="K362" i="1"/>
  <c r="L361" i="1"/>
  <c r="K361" i="1"/>
  <c r="L360" i="1"/>
  <c r="K360" i="1"/>
  <c r="L359" i="1"/>
  <c r="K359" i="1"/>
  <c r="L358" i="1"/>
  <c r="K358" i="1"/>
  <c r="M358" i="1" s="1"/>
  <c r="L357" i="1"/>
  <c r="K357" i="1"/>
  <c r="L356" i="1"/>
  <c r="K356" i="1"/>
  <c r="L355" i="1"/>
  <c r="K355" i="1"/>
  <c r="L354" i="1"/>
  <c r="K354" i="1"/>
  <c r="L353" i="1"/>
  <c r="K353" i="1"/>
  <c r="L352" i="1"/>
  <c r="K352" i="1"/>
  <c r="M352" i="1" s="1"/>
  <c r="L351" i="1"/>
  <c r="K351" i="1"/>
  <c r="L350" i="1"/>
  <c r="K350" i="1"/>
  <c r="L349" i="1"/>
  <c r="K349" i="1"/>
  <c r="L348" i="1"/>
  <c r="K348" i="1"/>
  <c r="L347" i="1"/>
  <c r="K347" i="1"/>
  <c r="L346" i="1"/>
  <c r="K346" i="1"/>
  <c r="M346" i="1" s="1"/>
  <c r="L345" i="1"/>
  <c r="K345" i="1"/>
  <c r="L344" i="1"/>
  <c r="K344" i="1"/>
  <c r="L343" i="1"/>
  <c r="K343" i="1"/>
  <c r="L342" i="1"/>
  <c r="K342" i="1"/>
  <c r="L341" i="1"/>
  <c r="K341" i="1"/>
  <c r="L340" i="1"/>
  <c r="K340" i="1"/>
  <c r="M340" i="1" s="1"/>
  <c r="L339" i="1"/>
  <c r="K339" i="1"/>
  <c r="L338" i="1"/>
  <c r="K338" i="1"/>
  <c r="L337" i="1"/>
  <c r="K337" i="1"/>
  <c r="L336" i="1"/>
  <c r="K336" i="1"/>
  <c r="L335" i="1"/>
  <c r="K335" i="1"/>
  <c r="L334" i="1"/>
  <c r="K334" i="1"/>
  <c r="M334" i="1" s="1"/>
  <c r="L333" i="1"/>
  <c r="K333" i="1"/>
  <c r="L332" i="1"/>
  <c r="K332" i="1"/>
  <c r="L331" i="1"/>
  <c r="K331" i="1"/>
  <c r="L330" i="1"/>
  <c r="K330" i="1"/>
  <c r="L329" i="1"/>
  <c r="K329" i="1"/>
  <c r="L328" i="1"/>
  <c r="K328" i="1"/>
  <c r="M328" i="1" s="1"/>
  <c r="L327" i="1"/>
  <c r="K327" i="1"/>
  <c r="L326" i="1"/>
  <c r="K326" i="1"/>
  <c r="L325" i="1"/>
  <c r="K325" i="1"/>
  <c r="L324" i="1"/>
  <c r="K324" i="1"/>
  <c r="L323" i="1"/>
  <c r="K323" i="1"/>
  <c r="L322" i="1"/>
  <c r="K322" i="1"/>
  <c r="M322" i="1" s="1"/>
  <c r="L321" i="1"/>
  <c r="K321" i="1"/>
  <c r="L320" i="1"/>
  <c r="K320" i="1"/>
  <c r="L319" i="1"/>
  <c r="K319" i="1"/>
  <c r="L318" i="1"/>
  <c r="K318" i="1"/>
  <c r="L317" i="1"/>
  <c r="K317" i="1"/>
  <c r="L316" i="1"/>
  <c r="K316" i="1"/>
  <c r="M316" i="1" s="1"/>
  <c r="L315" i="1"/>
  <c r="K315" i="1"/>
  <c r="L314" i="1"/>
  <c r="K314" i="1"/>
  <c r="L313" i="1"/>
  <c r="K313" i="1"/>
  <c r="L312" i="1"/>
  <c r="K312" i="1"/>
  <c r="L311" i="1"/>
  <c r="K311" i="1"/>
  <c r="L310" i="1"/>
  <c r="K310" i="1"/>
  <c r="M310" i="1" s="1"/>
  <c r="L309" i="1"/>
  <c r="K309" i="1"/>
  <c r="L308" i="1"/>
  <c r="K308" i="1"/>
  <c r="L307" i="1"/>
  <c r="K307" i="1"/>
  <c r="L306" i="1"/>
  <c r="K306" i="1"/>
  <c r="L305" i="1"/>
  <c r="K305" i="1"/>
  <c r="L304" i="1"/>
  <c r="K304" i="1"/>
  <c r="M304" i="1" s="1"/>
  <c r="L303" i="1"/>
  <c r="K303" i="1"/>
  <c r="L302" i="1"/>
  <c r="K302" i="1"/>
  <c r="L301" i="1"/>
  <c r="K301" i="1"/>
  <c r="L300" i="1"/>
  <c r="K300" i="1"/>
  <c r="L299" i="1"/>
  <c r="K299" i="1"/>
  <c r="L298" i="1"/>
  <c r="K298" i="1"/>
  <c r="M298" i="1" s="1"/>
  <c r="L297" i="1"/>
  <c r="K297" i="1"/>
  <c r="L296" i="1"/>
  <c r="K296" i="1"/>
  <c r="L295" i="1"/>
  <c r="K295" i="1"/>
  <c r="L294" i="1"/>
  <c r="K294" i="1"/>
  <c r="L293" i="1"/>
  <c r="K293" i="1"/>
  <c r="L292" i="1"/>
  <c r="K292" i="1"/>
  <c r="M292" i="1" s="1"/>
  <c r="L291" i="1"/>
  <c r="K291" i="1"/>
  <c r="L290" i="1"/>
  <c r="K290" i="1"/>
  <c r="L289" i="1"/>
  <c r="K289" i="1"/>
  <c r="L288" i="1"/>
  <c r="K288" i="1"/>
  <c r="L287" i="1"/>
  <c r="K287" i="1"/>
  <c r="L286" i="1"/>
  <c r="K286" i="1"/>
  <c r="M286" i="1" s="1"/>
  <c r="L285" i="1"/>
  <c r="K285" i="1"/>
  <c r="L284" i="1"/>
  <c r="K284" i="1"/>
  <c r="L283" i="1"/>
  <c r="K283" i="1"/>
  <c r="L282" i="1"/>
  <c r="K282" i="1"/>
  <c r="L281" i="1"/>
  <c r="K281" i="1"/>
  <c r="L280" i="1"/>
  <c r="K280" i="1"/>
  <c r="M280" i="1" s="1"/>
  <c r="L279" i="1"/>
  <c r="K279" i="1"/>
  <c r="L278" i="1"/>
  <c r="K278" i="1"/>
  <c r="L277" i="1"/>
  <c r="K277" i="1"/>
  <c r="L276" i="1"/>
  <c r="K276" i="1"/>
  <c r="L275" i="1"/>
  <c r="K275" i="1"/>
  <c r="L274" i="1"/>
  <c r="K274" i="1"/>
  <c r="M274" i="1" s="1"/>
  <c r="L273" i="1"/>
  <c r="K273" i="1"/>
  <c r="L272" i="1"/>
  <c r="K272" i="1"/>
  <c r="L271" i="1"/>
  <c r="K271" i="1"/>
  <c r="L270" i="1"/>
  <c r="K270" i="1"/>
  <c r="L269" i="1"/>
  <c r="K269" i="1"/>
  <c r="L268" i="1"/>
  <c r="K268" i="1"/>
  <c r="M268" i="1" s="1"/>
  <c r="L267" i="1"/>
  <c r="K267" i="1"/>
  <c r="L266" i="1"/>
  <c r="K266" i="1"/>
  <c r="L265" i="1"/>
  <c r="K265" i="1"/>
  <c r="L264" i="1"/>
  <c r="K264" i="1"/>
  <c r="L263" i="1"/>
  <c r="K263" i="1"/>
  <c r="L262" i="1"/>
  <c r="K262" i="1"/>
  <c r="M262" i="1" s="1"/>
  <c r="L261" i="1"/>
  <c r="K261" i="1"/>
  <c r="L260" i="1"/>
  <c r="K260" i="1"/>
  <c r="L259" i="1"/>
  <c r="K259" i="1"/>
  <c r="L258" i="1"/>
  <c r="K258" i="1"/>
  <c r="L257" i="1"/>
  <c r="K257" i="1"/>
  <c r="L256" i="1"/>
  <c r="K256" i="1"/>
  <c r="M256" i="1" s="1"/>
  <c r="L255" i="1"/>
  <c r="K255" i="1"/>
  <c r="L254" i="1"/>
  <c r="K254" i="1"/>
  <c r="L253" i="1"/>
  <c r="K253" i="1"/>
  <c r="L252" i="1"/>
  <c r="K252" i="1"/>
  <c r="L251" i="1"/>
  <c r="K251" i="1"/>
  <c r="L250" i="1"/>
  <c r="K250" i="1"/>
  <c r="M250" i="1" s="1"/>
  <c r="L249" i="1"/>
  <c r="K249" i="1"/>
  <c r="L248" i="1"/>
  <c r="K248" i="1"/>
  <c r="L247" i="1"/>
  <c r="K247" i="1"/>
  <c r="L246" i="1"/>
  <c r="K246" i="1"/>
  <c r="L245" i="1"/>
  <c r="K245" i="1"/>
  <c r="L244" i="1"/>
  <c r="K244" i="1"/>
  <c r="M244" i="1" s="1"/>
  <c r="L243" i="1"/>
  <c r="K243" i="1"/>
  <c r="L242" i="1"/>
  <c r="K242" i="1"/>
  <c r="L241" i="1"/>
  <c r="K241" i="1"/>
  <c r="L240" i="1"/>
  <c r="K240" i="1"/>
  <c r="L239" i="1"/>
  <c r="K239" i="1"/>
  <c r="L238" i="1"/>
  <c r="K238" i="1"/>
  <c r="M238" i="1" s="1"/>
  <c r="L237" i="1"/>
  <c r="K237" i="1"/>
  <c r="L236" i="1"/>
  <c r="K236" i="1"/>
  <c r="L235" i="1"/>
  <c r="K235" i="1"/>
  <c r="L234" i="1"/>
  <c r="K234" i="1"/>
  <c r="L233" i="1"/>
  <c r="K233" i="1"/>
  <c r="L232" i="1"/>
  <c r="K232" i="1"/>
  <c r="M232" i="1" s="1"/>
  <c r="L231" i="1"/>
  <c r="K231" i="1"/>
  <c r="L230" i="1"/>
  <c r="K230" i="1"/>
  <c r="L229" i="1"/>
  <c r="K229" i="1"/>
  <c r="L228" i="1"/>
  <c r="K228" i="1"/>
  <c r="L227" i="1"/>
  <c r="K227" i="1"/>
  <c r="L226" i="1"/>
  <c r="K226" i="1"/>
  <c r="M226" i="1" s="1"/>
  <c r="L225" i="1"/>
  <c r="K225" i="1"/>
  <c r="L224" i="1"/>
  <c r="K224" i="1"/>
  <c r="L223" i="1"/>
  <c r="K223" i="1"/>
  <c r="L222" i="1"/>
  <c r="K222" i="1"/>
  <c r="L221" i="1"/>
  <c r="K221" i="1"/>
  <c r="L220" i="1"/>
  <c r="K220" i="1"/>
  <c r="M220" i="1" s="1"/>
  <c r="L219" i="1"/>
  <c r="K219" i="1"/>
  <c r="L218" i="1"/>
  <c r="K218" i="1"/>
  <c r="L217" i="1"/>
  <c r="K217" i="1"/>
  <c r="L216" i="1"/>
  <c r="K216" i="1"/>
  <c r="L215" i="1"/>
  <c r="K215" i="1"/>
  <c r="L214" i="1"/>
  <c r="K214" i="1"/>
  <c r="M214" i="1" s="1"/>
  <c r="L213" i="1"/>
  <c r="K213" i="1"/>
  <c r="L212" i="1"/>
  <c r="K212" i="1"/>
  <c r="L211" i="1"/>
  <c r="K211" i="1"/>
  <c r="L210" i="1"/>
  <c r="K210" i="1"/>
  <c r="L209" i="1"/>
  <c r="K209" i="1"/>
  <c r="L208" i="1"/>
  <c r="K208" i="1"/>
  <c r="M208" i="1" s="1"/>
  <c r="L207" i="1"/>
  <c r="K207" i="1"/>
  <c r="L206" i="1"/>
  <c r="K206" i="1"/>
  <c r="L205" i="1"/>
  <c r="K205" i="1"/>
  <c r="L204" i="1"/>
  <c r="K204" i="1"/>
  <c r="L203" i="1"/>
  <c r="K203" i="1"/>
  <c r="L202" i="1"/>
  <c r="K202" i="1"/>
  <c r="M202" i="1" s="1"/>
  <c r="L201" i="1"/>
  <c r="K201" i="1"/>
  <c r="L200" i="1"/>
  <c r="K200" i="1"/>
  <c r="L199" i="1"/>
  <c r="K199" i="1"/>
  <c r="L198" i="1"/>
  <c r="K198" i="1"/>
  <c r="L197" i="1"/>
  <c r="K197" i="1"/>
  <c r="L196" i="1"/>
  <c r="K196" i="1"/>
  <c r="M196" i="1" s="1"/>
  <c r="L195" i="1"/>
  <c r="K195" i="1"/>
  <c r="L194" i="1"/>
  <c r="K194" i="1"/>
  <c r="L193" i="1"/>
  <c r="K193" i="1"/>
  <c r="L192" i="1"/>
  <c r="K192" i="1"/>
  <c r="L191" i="1"/>
  <c r="K191" i="1"/>
  <c r="L190" i="1"/>
  <c r="K190" i="1"/>
  <c r="M190" i="1" s="1"/>
  <c r="L189" i="1"/>
  <c r="K189" i="1"/>
  <c r="L188" i="1"/>
  <c r="K188" i="1"/>
  <c r="L187" i="1"/>
  <c r="K187" i="1"/>
  <c r="L186" i="1"/>
  <c r="K186" i="1"/>
  <c r="L185" i="1"/>
  <c r="K185" i="1"/>
  <c r="L184" i="1"/>
  <c r="K184" i="1"/>
  <c r="M184" i="1" s="1"/>
  <c r="L183" i="1"/>
  <c r="K183" i="1"/>
  <c r="L182" i="1"/>
  <c r="K182" i="1"/>
  <c r="L181" i="1"/>
  <c r="K181" i="1"/>
  <c r="L180" i="1"/>
  <c r="K180" i="1"/>
  <c r="L179" i="1"/>
  <c r="K179" i="1"/>
  <c r="L178" i="1"/>
  <c r="K178" i="1"/>
  <c r="M178" i="1" s="1"/>
  <c r="L177" i="1"/>
  <c r="K177" i="1"/>
  <c r="L176" i="1"/>
  <c r="K176" i="1"/>
  <c r="L175" i="1"/>
  <c r="K175" i="1"/>
  <c r="L174" i="1"/>
  <c r="K174" i="1"/>
  <c r="L173" i="1"/>
  <c r="K173" i="1"/>
  <c r="L172" i="1"/>
  <c r="K172" i="1"/>
  <c r="M172" i="1" s="1"/>
  <c r="L171" i="1"/>
  <c r="K171" i="1"/>
  <c r="L170" i="1"/>
  <c r="K170" i="1"/>
  <c r="L169" i="1"/>
  <c r="K169" i="1"/>
  <c r="L168" i="1"/>
  <c r="K168" i="1"/>
  <c r="L167" i="1"/>
  <c r="K167" i="1"/>
  <c r="L166" i="1"/>
  <c r="K166" i="1"/>
  <c r="M166" i="1" s="1"/>
  <c r="L165" i="1"/>
  <c r="K165" i="1"/>
  <c r="L164" i="1"/>
  <c r="K164" i="1"/>
  <c r="L163" i="1"/>
  <c r="K163" i="1"/>
  <c r="L162" i="1"/>
  <c r="K162" i="1"/>
  <c r="L161" i="1"/>
  <c r="K161" i="1"/>
  <c r="L160" i="1"/>
  <c r="K160" i="1"/>
  <c r="M160" i="1" s="1"/>
  <c r="L159" i="1"/>
  <c r="K159" i="1"/>
  <c r="L158" i="1"/>
  <c r="K158" i="1"/>
  <c r="L157" i="1"/>
  <c r="K157" i="1"/>
  <c r="L156" i="1"/>
  <c r="K156" i="1"/>
  <c r="L155" i="1"/>
  <c r="K155" i="1"/>
  <c r="L154" i="1"/>
  <c r="K154" i="1"/>
  <c r="M154" i="1" s="1"/>
  <c r="L153" i="1"/>
  <c r="K153" i="1"/>
  <c r="L152" i="1"/>
  <c r="K152" i="1"/>
  <c r="L151" i="1"/>
  <c r="K151" i="1"/>
  <c r="L150" i="1"/>
  <c r="K150" i="1"/>
  <c r="L149" i="1"/>
  <c r="K149" i="1"/>
  <c r="L148" i="1"/>
  <c r="K148" i="1"/>
  <c r="M148" i="1" s="1"/>
  <c r="L147" i="1"/>
  <c r="K147" i="1"/>
  <c r="L146" i="1"/>
  <c r="K146" i="1"/>
  <c r="L145" i="1"/>
  <c r="K145" i="1"/>
  <c r="L144" i="1"/>
  <c r="K144" i="1"/>
  <c r="L143" i="1"/>
  <c r="K143" i="1"/>
  <c r="L142" i="1"/>
  <c r="K142" i="1"/>
  <c r="M142" i="1" s="1"/>
  <c r="L141" i="1"/>
  <c r="K141" i="1"/>
  <c r="L140" i="1"/>
  <c r="K140" i="1"/>
  <c r="L139" i="1"/>
  <c r="K139" i="1"/>
  <c r="L138" i="1"/>
  <c r="K138" i="1"/>
  <c r="L137" i="1"/>
  <c r="K137" i="1"/>
  <c r="L136" i="1"/>
  <c r="K136" i="1"/>
  <c r="M136" i="1" s="1"/>
  <c r="L135" i="1"/>
  <c r="K135" i="1"/>
  <c r="L134" i="1"/>
  <c r="K134" i="1"/>
  <c r="L133" i="1"/>
  <c r="K133" i="1"/>
  <c r="L132" i="1"/>
  <c r="K132" i="1"/>
  <c r="M132" i="1" s="1"/>
  <c r="L131" i="1"/>
  <c r="K131" i="1"/>
  <c r="L130" i="1"/>
  <c r="K130" i="1"/>
  <c r="M130" i="1" s="1"/>
  <c r="L129" i="1"/>
  <c r="K129" i="1"/>
  <c r="L128" i="1"/>
  <c r="K128" i="1"/>
  <c r="L127" i="1"/>
  <c r="K127" i="1"/>
  <c r="L126" i="1"/>
  <c r="K126" i="1"/>
  <c r="M126" i="1" s="1"/>
  <c r="L125" i="1"/>
  <c r="K125" i="1"/>
  <c r="L124" i="1"/>
  <c r="K124" i="1"/>
  <c r="M124" i="1" s="1"/>
  <c r="L123" i="1"/>
  <c r="K123" i="1"/>
  <c r="L122" i="1"/>
  <c r="K122" i="1"/>
  <c r="L121" i="1"/>
  <c r="K121" i="1"/>
  <c r="L120" i="1"/>
  <c r="K120" i="1"/>
  <c r="L119" i="1"/>
  <c r="K119" i="1"/>
  <c r="L118" i="1"/>
  <c r="K118" i="1"/>
  <c r="M118" i="1" s="1"/>
  <c r="L117" i="1"/>
  <c r="K117" i="1"/>
  <c r="L116" i="1"/>
  <c r="K116" i="1"/>
  <c r="L115" i="1"/>
  <c r="K115" i="1"/>
  <c r="L114" i="1"/>
  <c r="K114" i="1"/>
  <c r="L113" i="1"/>
  <c r="K113" i="1"/>
  <c r="L112" i="1"/>
  <c r="K112" i="1"/>
  <c r="M112" i="1" s="1"/>
  <c r="L111" i="1"/>
  <c r="K111" i="1"/>
  <c r="L110" i="1"/>
  <c r="K110" i="1"/>
  <c r="L109" i="1"/>
  <c r="K109" i="1"/>
  <c r="L108" i="1"/>
  <c r="K108" i="1"/>
  <c r="L107" i="1"/>
  <c r="K107" i="1"/>
  <c r="L106" i="1"/>
  <c r="K106" i="1"/>
  <c r="M106" i="1" s="1"/>
  <c r="L105" i="1"/>
  <c r="K105" i="1"/>
  <c r="L104" i="1"/>
  <c r="K104" i="1"/>
  <c r="L103" i="1"/>
  <c r="K103" i="1"/>
  <c r="L102" i="1"/>
  <c r="K102" i="1"/>
  <c r="L101" i="1"/>
  <c r="K101" i="1"/>
  <c r="L100" i="1"/>
  <c r="K100" i="1"/>
  <c r="M100" i="1" s="1"/>
  <c r="L99" i="1"/>
  <c r="K99" i="1"/>
  <c r="L98" i="1"/>
  <c r="K98" i="1"/>
  <c r="L97" i="1"/>
  <c r="K97" i="1"/>
  <c r="L96" i="1"/>
  <c r="K96" i="1"/>
  <c r="M96" i="1" s="1"/>
  <c r="L95" i="1"/>
  <c r="K95" i="1"/>
  <c r="L94" i="1"/>
  <c r="K94" i="1"/>
  <c r="M94" i="1" s="1"/>
  <c r="L93" i="1"/>
  <c r="K93" i="1"/>
  <c r="L92" i="1"/>
  <c r="K92" i="1"/>
  <c r="L91" i="1"/>
  <c r="K91" i="1"/>
  <c r="L90" i="1"/>
  <c r="K90" i="1"/>
  <c r="M90" i="1" s="1"/>
  <c r="L89" i="1"/>
  <c r="K89" i="1"/>
  <c r="L88" i="1"/>
  <c r="K88" i="1"/>
  <c r="M88" i="1" s="1"/>
  <c r="L87" i="1"/>
  <c r="K87" i="1"/>
  <c r="L86" i="1"/>
  <c r="K86" i="1"/>
  <c r="L85" i="1"/>
  <c r="K85" i="1"/>
  <c r="L84" i="1"/>
  <c r="K84" i="1"/>
  <c r="M84" i="1" s="1"/>
  <c r="L83" i="1"/>
  <c r="K83" i="1"/>
  <c r="L82" i="1"/>
  <c r="K82" i="1"/>
  <c r="M82" i="1" s="1"/>
  <c r="L81" i="1"/>
  <c r="K81" i="1"/>
  <c r="L80" i="1"/>
  <c r="K80" i="1"/>
  <c r="L79" i="1"/>
  <c r="K79" i="1"/>
  <c r="L78" i="1"/>
  <c r="K78" i="1"/>
  <c r="L77" i="1"/>
  <c r="K77" i="1"/>
  <c r="L76" i="1"/>
  <c r="K76" i="1"/>
  <c r="M76" i="1" s="1"/>
  <c r="L75" i="1"/>
  <c r="K75" i="1"/>
  <c r="L74" i="1"/>
  <c r="K74" i="1"/>
  <c r="L73" i="1"/>
  <c r="K73" i="1"/>
  <c r="L72" i="1"/>
  <c r="K72" i="1"/>
  <c r="M72" i="1" s="1"/>
  <c r="L71" i="1"/>
  <c r="K71" i="1"/>
  <c r="L70" i="1"/>
  <c r="K70" i="1"/>
  <c r="M70" i="1" s="1"/>
  <c r="L69" i="1"/>
  <c r="K69" i="1"/>
  <c r="L68" i="1"/>
  <c r="K68" i="1"/>
  <c r="L67" i="1"/>
  <c r="K67" i="1"/>
  <c r="L66" i="1"/>
  <c r="K66" i="1"/>
  <c r="M66" i="1" s="1"/>
  <c r="L65" i="1"/>
  <c r="K65" i="1"/>
  <c r="L64" i="1"/>
  <c r="K64" i="1"/>
  <c r="M64" i="1" s="1"/>
  <c r="L63" i="1"/>
  <c r="K63" i="1"/>
  <c r="L62" i="1"/>
  <c r="K62" i="1"/>
  <c r="L61" i="1"/>
  <c r="K61" i="1"/>
  <c r="L60" i="1"/>
  <c r="K60" i="1"/>
  <c r="M60" i="1" s="1"/>
  <c r="L59" i="1"/>
  <c r="K59" i="1"/>
  <c r="L58" i="1"/>
  <c r="K58" i="1"/>
  <c r="M58" i="1" s="1"/>
  <c r="L57" i="1"/>
  <c r="K57" i="1"/>
  <c r="L56" i="1"/>
  <c r="K56" i="1"/>
  <c r="L55" i="1"/>
  <c r="K55" i="1"/>
  <c r="L54" i="1"/>
  <c r="K54" i="1"/>
  <c r="M54" i="1" s="1"/>
  <c r="L53" i="1"/>
  <c r="K53" i="1"/>
  <c r="L52" i="1"/>
  <c r="K52" i="1"/>
  <c r="M52" i="1" s="1"/>
  <c r="L51" i="1"/>
  <c r="K51" i="1"/>
  <c r="L50" i="1"/>
  <c r="K50" i="1"/>
  <c r="L49" i="1"/>
  <c r="K49" i="1"/>
  <c r="L48" i="1"/>
  <c r="K48" i="1"/>
  <c r="M48" i="1" s="1"/>
  <c r="L47" i="1"/>
  <c r="K47" i="1"/>
  <c r="L46" i="1"/>
  <c r="K46" i="1"/>
  <c r="M46" i="1" s="1"/>
  <c r="L45" i="1"/>
  <c r="K45" i="1"/>
  <c r="L44" i="1"/>
  <c r="K44" i="1"/>
  <c r="L43" i="1"/>
  <c r="K43" i="1"/>
  <c r="L42" i="1"/>
  <c r="K42" i="1"/>
  <c r="M42" i="1" s="1"/>
  <c r="L41" i="1"/>
  <c r="K41" i="1"/>
  <c r="L40" i="1"/>
  <c r="K40" i="1"/>
  <c r="M40" i="1" s="1"/>
  <c r="L39" i="1"/>
  <c r="K39" i="1"/>
  <c r="L38" i="1"/>
  <c r="K38" i="1"/>
  <c r="L37" i="1"/>
  <c r="K37" i="1"/>
  <c r="L36" i="1"/>
  <c r="K36" i="1"/>
  <c r="M36" i="1" s="1"/>
  <c r="L35" i="1"/>
  <c r="K35" i="1"/>
  <c r="L34" i="1"/>
  <c r="K34" i="1"/>
  <c r="M34" i="1" s="1"/>
  <c r="L33" i="1"/>
  <c r="K33" i="1"/>
  <c r="L32" i="1"/>
  <c r="K32" i="1"/>
  <c r="L31" i="1"/>
  <c r="K31" i="1"/>
  <c r="L30" i="1"/>
  <c r="K30" i="1"/>
  <c r="M30" i="1" s="1"/>
  <c r="L29" i="1"/>
  <c r="K29" i="1"/>
  <c r="L28" i="1"/>
  <c r="K28" i="1"/>
  <c r="M28" i="1" s="1"/>
  <c r="L27" i="1"/>
  <c r="K27" i="1"/>
  <c r="L26" i="1"/>
  <c r="K26" i="1"/>
  <c r="L25" i="1"/>
  <c r="K25" i="1"/>
  <c r="L24" i="1"/>
  <c r="K24" i="1"/>
  <c r="M24" i="1" s="1"/>
  <c r="L23" i="1"/>
  <c r="K23" i="1"/>
  <c r="L22" i="1"/>
  <c r="K22" i="1"/>
  <c r="M22" i="1" s="1"/>
  <c r="L21" i="1"/>
  <c r="K21" i="1"/>
  <c r="L20" i="1"/>
  <c r="K20" i="1"/>
  <c r="L19" i="1"/>
  <c r="K19" i="1"/>
  <c r="L18" i="1"/>
  <c r="K18" i="1"/>
  <c r="M18" i="1" s="1"/>
  <c r="L17" i="1"/>
  <c r="K17" i="1"/>
  <c r="L16" i="1"/>
  <c r="K16" i="1"/>
  <c r="M16" i="1" s="1"/>
  <c r="L15" i="1"/>
  <c r="K15" i="1"/>
  <c r="L14" i="1"/>
  <c r="K14" i="1"/>
  <c r="L13" i="1"/>
  <c r="K13" i="1"/>
  <c r="M138" i="1" l="1"/>
  <c r="M144" i="1"/>
  <c r="M150" i="1"/>
  <c r="M156" i="1"/>
  <c r="M162" i="1"/>
  <c r="M168" i="1"/>
  <c r="M174" i="1"/>
  <c r="M180" i="1"/>
  <c r="M186" i="1"/>
  <c r="M192" i="1"/>
  <c r="M198" i="1"/>
  <c r="M204" i="1"/>
  <c r="M210" i="1"/>
  <c r="M216" i="1"/>
  <c r="E8" i="4" s="1"/>
  <c r="M222" i="1"/>
  <c r="M228" i="1"/>
  <c r="M234" i="1"/>
  <c r="M240" i="1"/>
  <c r="M246" i="1"/>
  <c r="M258" i="1"/>
  <c r="M264" i="1"/>
  <c r="M270" i="1"/>
  <c r="M276" i="1"/>
  <c r="M282" i="1"/>
  <c r="M288" i="1"/>
  <c r="M294" i="1"/>
  <c r="M312" i="1"/>
  <c r="M318" i="1"/>
  <c r="M324" i="1"/>
  <c r="M330" i="1"/>
  <c r="M336" i="1"/>
  <c r="M342" i="1"/>
  <c r="M348" i="1"/>
  <c r="M354" i="1"/>
  <c r="M360" i="1"/>
  <c r="M366" i="1"/>
  <c r="M372" i="1"/>
  <c r="M378" i="1"/>
  <c r="M396" i="1"/>
  <c r="M408" i="1"/>
  <c r="M414" i="1"/>
  <c r="M454" i="1"/>
  <c r="M460" i="1"/>
  <c r="M466" i="1"/>
  <c r="M472" i="1"/>
  <c r="M478" i="1"/>
  <c r="M484" i="1"/>
  <c r="M490" i="1"/>
  <c r="M496" i="1"/>
  <c r="M502" i="1"/>
  <c r="M508" i="1"/>
  <c r="M514" i="1"/>
  <c r="M520" i="1"/>
  <c r="M526" i="1"/>
  <c r="M532" i="1"/>
  <c r="M538" i="1"/>
  <c r="M544" i="1"/>
  <c r="M550" i="1"/>
  <c r="M556" i="1"/>
  <c r="M562" i="1"/>
  <c r="M568" i="1"/>
  <c r="M574" i="1"/>
  <c r="M580" i="1"/>
  <c r="M586" i="1"/>
  <c r="M592" i="1"/>
  <c r="M598" i="1"/>
  <c r="M604" i="1"/>
  <c r="M610" i="1"/>
  <c r="M616" i="1"/>
  <c r="M622" i="1"/>
  <c r="M628" i="1"/>
  <c r="M634" i="1"/>
  <c r="M640" i="1"/>
  <c r="M646" i="1"/>
  <c r="M652" i="1"/>
  <c r="M658" i="1"/>
  <c r="M664" i="1"/>
  <c r="M670" i="1"/>
  <c r="M676" i="1"/>
  <c r="M682" i="1"/>
  <c r="M688" i="1"/>
  <c r="M694" i="1"/>
  <c r="M700" i="1"/>
  <c r="M730" i="1"/>
  <c r="M754" i="1"/>
  <c r="M766" i="1"/>
  <c r="M772" i="1"/>
  <c r="M778" i="1"/>
  <c r="M784" i="1"/>
  <c r="M790" i="1"/>
  <c r="M796" i="1"/>
  <c r="M802" i="1"/>
  <c r="M808" i="1"/>
  <c r="M814" i="1"/>
  <c r="M820" i="1"/>
  <c r="M826" i="1"/>
  <c r="M832" i="1"/>
  <c r="M838" i="1"/>
  <c r="M844" i="1"/>
  <c r="M850" i="1"/>
  <c r="M856" i="1"/>
  <c r="M862" i="1"/>
  <c r="M868" i="1"/>
  <c r="M874" i="1"/>
  <c r="M880" i="1"/>
  <c r="M886" i="1"/>
  <c r="M892" i="1"/>
  <c r="M898" i="1"/>
  <c r="M904" i="1"/>
  <c r="M910" i="1"/>
  <c r="M916" i="1"/>
  <c r="M922" i="1"/>
  <c r="M928" i="1"/>
  <c r="M934" i="1"/>
  <c r="M940" i="1"/>
  <c r="M946" i="1"/>
  <c r="M952" i="1"/>
  <c r="M958" i="1"/>
  <c r="M964" i="1"/>
  <c r="M970" i="1"/>
  <c r="M976" i="1"/>
  <c r="M982" i="1"/>
  <c r="M988" i="1"/>
  <c r="M994" i="1"/>
  <c r="M1000" i="1"/>
  <c r="M1006" i="1"/>
  <c r="M420" i="1"/>
  <c r="M353" i="1"/>
  <c r="M359" i="1"/>
  <c r="M365" i="1"/>
  <c r="M371" i="1"/>
  <c r="M377" i="1"/>
  <c r="M383" i="1"/>
  <c r="M389" i="1"/>
  <c r="M395" i="1"/>
  <c r="M401" i="1"/>
  <c r="M407" i="1"/>
  <c r="M413" i="1"/>
  <c r="M419" i="1"/>
  <c r="M425" i="1"/>
  <c r="M431" i="1"/>
  <c r="M437" i="1"/>
  <c r="M443" i="1"/>
  <c r="M449" i="1"/>
  <c r="M455" i="1"/>
  <c r="M461" i="1"/>
  <c r="M467" i="1"/>
  <c r="M473" i="1"/>
  <c r="M479" i="1"/>
  <c r="M485" i="1"/>
  <c r="M491" i="1"/>
  <c r="M497" i="1"/>
  <c r="M503" i="1"/>
  <c r="M509" i="1"/>
  <c r="M515" i="1"/>
  <c r="M521" i="1"/>
  <c r="M527" i="1"/>
  <c r="M557" i="1"/>
  <c r="M563" i="1"/>
  <c r="M569" i="1"/>
  <c r="M575" i="1"/>
  <c r="M599" i="1"/>
  <c r="M605" i="1"/>
  <c r="M611" i="1"/>
  <c r="M617" i="1"/>
  <c r="M623" i="1"/>
  <c r="M629" i="1"/>
  <c r="M635" i="1"/>
  <c r="M641" i="1"/>
  <c r="M647" i="1"/>
  <c r="M653" i="1"/>
  <c r="M659" i="1"/>
  <c r="M665" i="1"/>
  <c r="M671" i="1"/>
  <c r="M695" i="1"/>
  <c r="M701" i="1"/>
  <c r="M707" i="1"/>
  <c r="M713" i="1"/>
  <c r="M719" i="1"/>
  <c r="M725" i="1"/>
  <c r="M731" i="1"/>
  <c r="M737" i="1"/>
  <c r="M743" i="1"/>
  <c r="M749" i="1"/>
  <c r="M755" i="1"/>
  <c r="M761" i="1"/>
  <c r="M767" i="1"/>
  <c r="M773" i="1"/>
  <c r="M779" i="1"/>
  <c r="M785" i="1"/>
  <c r="M791" i="1"/>
  <c r="M797" i="1"/>
  <c r="M803" i="1"/>
  <c r="M809" i="1"/>
  <c r="M815" i="1"/>
  <c r="M821" i="1"/>
  <c r="M827" i="1"/>
  <c r="M833" i="1"/>
  <c r="M839" i="1"/>
  <c r="M845" i="1"/>
  <c r="M851" i="1"/>
  <c r="M857" i="1"/>
  <c r="M863" i="1"/>
  <c r="M869" i="1"/>
  <c r="M875" i="1"/>
  <c r="M881" i="1"/>
  <c r="M887" i="1"/>
  <c r="M893" i="1"/>
  <c r="M899" i="1"/>
  <c r="M905" i="1"/>
  <c r="M911" i="1"/>
  <c r="M917" i="1"/>
  <c r="M923" i="1"/>
  <c r="M929" i="1"/>
  <c r="M935" i="1"/>
  <c r="M941" i="1"/>
  <c r="M947" i="1"/>
  <c r="M953" i="1"/>
  <c r="M959" i="1"/>
  <c r="M965" i="1"/>
  <c r="M971" i="1"/>
  <c r="M977" i="1"/>
  <c r="M983" i="1"/>
  <c r="M989" i="1"/>
  <c r="M995" i="1"/>
  <c r="M1001" i="1"/>
  <c r="M1007" i="1"/>
  <c r="M17" i="1"/>
  <c r="M41" i="1"/>
  <c r="M47" i="1"/>
  <c r="M53" i="1"/>
  <c r="M59" i="1"/>
  <c r="M65" i="1"/>
  <c r="M77" i="1"/>
  <c r="M83" i="1"/>
  <c r="M89" i="1"/>
  <c r="M119" i="1"/>
  <c r="M125" i="1"/>
  <c r="M131" i="1"/>
  <c r="M137" i="1"/>
  <c r="M143" i="1"/>
  <c r="M149" i="1"/>
  <c r="M155" i="1"/>
  <c r="M161" i="1"/>
  <c r="M167" i="1"/>
  <c r="M173" i="1"/>
  <c r="M179" i="1"/>
  <c r="M185" i="1"/>
  <c r="M191" i="1"/>
  <c r="M197" i="1"/>
  <c r="M203" i="1"/>
  <c r="M209" i="1"/>
  <c r="M215" i="1"/>
  <c r="M221" i="1"/>
  <c r="M227" i="1"/>
  <c r="M233" i="1"/>
  <c r="M239" i="1"/>
  <c r="M245" i="1"/>
  <c r="M251" i="1"/>
  <c r="M257" i="1"/>
  <c r="M263" i="1"/>
  <c r="M269" i="1"/>
  <c r="M275" i="1"/>
  <c r="M281" i="1"/>
  <c r="M287" i="1"/>
  <c r="M293" i="1"/>
  <c r="M299" i="1"/>
  <c r="M305" i="1"/>
  <c r="M311" i="1"/>
  <c r="M317" i="1"/>
  <c r="M323" i="1"/>
  <c r="M329" i="1"/>
  <c r="M335" i="1"/>
  <c r="M341" i="1"/>
  <c r="M347" i="1"/>
  <c r="M426" i="1"/>
  <c r="M432" i="1"/>
  <c r="M438" i="1"/>
  <c r="M444" i="1"/>
  <c r="M450" i="1"/>
  <c r="M456" i="1"/>
  <c r="M462" i="1"/>
  <c r="M468" i="1"/>
  <c r="M474" i="1"/>
  <c r="M480" i="1"/>
  <c r="M486" i="1"/>
  <c r="M492" i="1"/>
  <c r="M498" i="1"/>
  <c r="M504" i="1"/>
  <c r="M510" i="1"/>
  <c r="M516" i="1"/>
  <c r="M522" i="1"/>
  <c r="M528" i="1"/>
  <c r="M534" i="1"/>
  <c r="M540" i="1"/>
  <c r="M546" i="1"/>
  <c r="M552" i="1"/>
  <c r="M558" i="1"/>
  <c r="M564" i="1"/>
  <c r="M570" i="1"/>
  <c r="M576" i="1"/>
  <c r="M582" i="1"/>
  <c r="M588" i="1"/>
  <c r="M594" i="1"/>
  <c r="M600" i="1"/>
  <c r="M606" i="1"/>
  <c r="M612" i="1"/>
  <c r="M618" i="1"/>
  <c r="M624" i="1"/>
  <c r="M630" i="1"/>
  <c r="M636" i="1"/>
  <c r="M648" i="1"/>
  <c r="M654" i="1"/>
  <c r="M660" i="1"/>
  <c r="M666" i="1"/>
  <c r="M672" i="1"/>
  <c r="M678" i="1"/>
  <c r="M684" i="1"/>
  <c r="M690" i="1"/>
  <c r="M696" i="1"/>
  <c r="M702" i="1"/>
  <c r="M708" i="1"/>
  <c r="M714" i="1"/>
  <c r="M720" i="1"/>
  <c r="M726" i="1"/>
  <c r="M732" i="1"/>
  <c r="M738" i="1"/>
  <c r="M744" i="1"/>
  <c r="M750" i="1"/>
  <c r="M756" i="1"/>
  <c r="M762" i="1"/>
  <c r="M768" i="1"/>
  <c r="M774" i="1"/>
  <c r="M780" i="1"/>
  <c r="M786" i="1"/>
  <c r="M792" i="1"/>
  <c r="M798" i="1"/>
  <c r="M804" i="1"/>
  <c r="M810" i="1"/>
  <c r="M816" i="1"/>
  <c r="M822" i="1"/>
  <c r="M828" i="1"/>
  <c r="M834" i="1"/>
  <c r="M840" i="1"/>
  <c r="M846" i="1"/>
  <c r="M852" i="1"/>
  <c r="M858" i="1"/>
  <c r="M864" i="1"/>
  <c r="M870" i="1"/>
  <c r="M876" i="1"/>
  <c r="M882" i="1"/>
  <c r="M888" i="1"/>
  <c r="M894" i="1"/>
  <c r="M900" i="1"/>
  <c r="M906" i="1"/>
  <c r="M984" i="1"/>
  <c r="M990" i="1"/>
  <c r="M996" i="1"/>
  <c r="M1002" i="1"/>
  <c r="M1008" i="1"/>
  <c r="M95" i="1"/>
  <c r="M107" i="1"/>
  <c r="M101" i="1"/>
  <c r="M113" i="1"/>
  <c r="M539" i="1"/>
  <c r="M551" i="1"/>
  <c r="M533" i="1"/>
  <c r="M545" i="1"/>
  <c r="M78" i="1"/>
  <c r="M642" i="1"/>
  <c r="M740" i="1"/>
  <c r="M746" i="1"/>
  <c r="M752" i="1"/>
  <c r="M758" i="1"/>
  <c r="M764" i="1"/>
  <c r="M770" i="1"/>
  <c r="M776" i="1"/>
  <c r="M782" i="1"/>
  <c r="M788" i="1"/>
  <c r="M794" i="1"/>
  <c r="M800" i="1"/>
  <c r="M806" i="1"/>
  <c r="M812" i="1"/>
  <c r="M818" i="1"/>
  <c r="M824" i="1"/>
  <c r="M830" i="1"/>
  <c r="M836" i="1"/>
  <c r="M842" i="1"/>
  <c r="M848" i="1"/>
  <c r="M854" i="1"/>
  <c r="M860" i="1"/>
  <c r="M866" i="1"/>
  <c r="M872" i="1"/>
  <c r="M878" i="1"/>
  <c r="M884" i="1"/>
  <c r="M890" i="1"/>
  <c r="M896" i="1"/>
  <c r="M902" i="1"/>
  <c r="M908" i="1"/>
  <c r="M914" i="1"/>
  <c r="M920" i="1"/>
  <c r="M926" i="1"/>
  <c r="M932" i="1"/>
  <c r="M938" i="1"/>
  <c r="M944" i="1"/>
  <c r="M950" i="1"/>
  <c r="M956" i="1"/>
  <c r="M962" i="1"/>
  <c r="M968" i="1"/>
  <c r="M974" i="1"/>
  <c r="M980" i="1"/>
  <c r="M986" i="1"/>
  <c r="M992" i="1"/>
  <c r="M998" i="1"/>
  <c r="M1004" i="1"/>
  <c r="M29" i="1"/>
  <c r="M35" i="1"/>
  <c r="M23" i="1"/>
  <c r="M71" i="1"/>
  <c r="M402" i="1"/>
  <c r="M384" i="1"/>
  <c r="M390" i="1"/>
  <c r="M689" i="1"/>
  <c r="M683" i="1"/>
  <c r="M677" i="1"/>
  <c r="M300" i="1"/>
  <c r="M306" i="1"/>
  <c r="M912" i="1"/>
  <c r="M918" i="1"/>
  <c r="M924" i="1"/>
  <c r="M930" i="1"/>
  <c r="M936" i="1"/>
  <c r="M942" i="1"/>
  <c r="M948" i="1"/>
  <c r="M954" i="1"/>
  <c r="M960" i="1"/>
  <c r="M966" i="1"/>
  <c r="M972" i="1"/>
  <c r="M978" i="1"/>
  <c r="M13" i="1"/>
  <c r="M19" i="1"/>
  <c r="M25" i="1"/>
  <c r="M31" i="1"/>
  <c r="M37" i="1"/>
  <c r="M43" i="1"/>
  <c r="M49" i="1"/>
  <c r="M55" i="1"/>
  <c r="M61" i="1"/>
  <c r="M67" i="1"/>
  <c r="M73" i="1"/>
  <c r="M79" i="1"/>
  <c r="M85" i="1"/>
  <c r="M91" i="1"/>
  <c r="M97" i="1"/>
  <c r="M103" i="1"/>
  <c r="M109" i="1"/>
  <c r="M115" i="1"/>
  <c r="M121" i="1"/>
  <c r="M127" i="1"/>
  <c r="M133" i="1"/>
  <c r="M139" i="1"/>
  <c r="M145" i="1"/>
  <c r="M151" i="1"/>
  <c r="M157" i="1"/>
  <c r="M163" i="1"/>
  <c r="M169" i="1"/>
  <c r="M175" i="1"/>
  <c r="M181" i="1"/>
  <c r="M187" i="1"/>
  <c r="M193" i="1"/>
  <c r="M199" i="1"/>
  <c r="M205" i="1"/>
  <c r="M211" i="1"/>
  <c r="M235" i="1"/>
  <c r="M241" i="1"/>
  <c r="M247" i="1"/>
  <c r="M253" i="1"/>
  <c r="M259" i="1"/>
  <c r="M265" i="1"/>
  <c r="M271" i="1"/>
  <c r="M277" i="1"/>
  <c r="M283" i="1"/>
  <c r="M289" i="1"/>
  <c r="M295" i="1"/>
  <c r="M301" i="1"/>
  <c r="M307" i="1"/>
  <c r="M313" i="1"/>
  <c r="M319" i="1"/>
  <c r="M325" i="1"/>
  <c r="M331" i="1"/>
  <c r="M337" i="1"/>
  <c r="M343" i="1"/>
  <c r="M349" i="1"/>
  <c r="M355" i="1"/>
  <c r="M361" i="1"/>
  <c r="M367" i="1"/>
  <c r="M373" i="1"/>
  <c r="M379" i="1"/>
  <c r="M385" i="1"/>
  <c r="M391" i="1"/>
  <c r="M397" i="1"/>
  <c r="M403" i="1"/>
  <c r="M409" i="1"/>
  <c r="M415" i="1"/>
  <c r="M421" i="1"/>
  <c r="M427" i="1"/>
  <c r="M433" i="1"/>
  <c r="M439" i="1"/>
  <c r="M445" i="1"/>
  <c r="M451" i="1"/>
  <c r="M457" i="1"/>
  <c r="M463" i="1"/>
  <c r="M469" i="1"/>
  <c r="M475" i="1"/>
  <c r="M481" i="1"/>
  <c r="M487" i="1"/>
  <c r="M493" i="1"/>
  <c r="M499" i="1"/>
  <c r="M505" i="1"/>
  <c r="F3" i="4"/>
  <c r="M511" i="1"/>
  <c r="M517" i="1"/>
  <c r="M523" i="1"/>
  <c r="M529" i="1"/>
  <c r="M535" i="1"/>
  <c r="M541" i="1"/>
  <c r="M547" i="1"/>
  <c r="M553" i="1"/>
  <c r="M559" i="1"/>
  <c r="M565" i="1"/>
  <c r="M571" i="1"/>
  <c r="M577" i="1"/>
  <c r="M583" i="1"/>
  <c r="M589" i="1"/>
  <c r="M595" i="1"/>
  <c r="M601" i="1"/>
  <c r="M607" i="1"/>
  <c r="M613" i="1"/>
  <c r="M619" i="1"/>
  <c r="M625" i="1"/>
  <c r="M631" i="1"/>
  <c r="M637" i="1"/>
  <c r="M643" i="1"/>
  <c r="M649" i="1"/>
  <c r="M655" i="1"/>
  <c r="M661" i="1"/>
  <c r="M667" i="1"/>
  <c r="M673" i="1"/>
  <c r="M679" i="1"/>
  <c r="M685" i="1"/>
  <c r="M691" i="1"/>
  <c r="M697" i="1"/>
  <c r="M703" i="1"/>
  <c r="M709" i="1"/>
  <c r="M715" i="1"/>
  <c r="M721" i="1"/>
  <c r="M727" i="1"/>
  <c r="M733" i="1"/>
  <c r="M739" i="1"/>
  <c r="M745" i="1"/>
  <c r="M751" i="1"/>
  <c r="M757" i="1"/>
  <c r="M763" i="1"/>
  <c r="M769" i="1"/>
  <c r="M775" i="1"/>
  <c r="M781" i="1"/>
  <c r="M787" i="1"/>
  <c r="M793" i="1"/>
  <c r="M799" i="1"/>
  <c r="M805" i="1"/>
  <c r="M811" i="1"/>
  <c r="M817" i="1"/>
  <c r="M823" i="1"/>
  <c r="M829" i="1"/>
  <c r="M835" i="1"/>
  <c r="M841" i="1"/>
  <c r="M847" i="1"/>
  <c r="M853" i="1"/>
  <c r="M859" i="1"/>
  <c r="M865" i="1"/>
  <c r="M871" i="1"/>
  <c r="M877" i="1"/>
  <c r="M883" i="1"/>
  <c r="M889" i="1"/>
  <c r="M895" i="1"/>
  <c r="M901" i="1"/>
  <c r="M907" i="1"/>
  <c r="M913" i="1"/>
  <c r="M919" i="1"/>
  <c r="M925" i="1"/>
  <c r="M931" i="1"/>
  <c r="M937" i="1"/>
  <c r="M943" i="1"/>
  <c r="M949" i="1"/>
  <c r="M955" i="1"/>
  <c r="M961" i="1"/>
  <c r="M967" i="1"/>
  <c r="M973" i="1"/>
  <c r="M979" i="1"/>
  <c r="M985" i="1"/>
  <c r="M991" i="1"/>
  <c r="M997" i="1"/>
  <c r="M1003" i="1"/>
  <c r="M1009" i="1"/>
  <c r="F7" i="4"/>
  <c r="M252" i="1"/>
  <c r="M587" i="1"/>
  <c r="M581" i="1"/>
  <c r="M593" i="1"/>
  <c r="M1010" i="1"/>
  <c r="M14" i="1"/>
  <c r="M20" i="1"/>
  <c r="M26" i="1"/>
  <c r="M38" i="1"/>
  <c r="M44" i="1"/>
  <c r="M50" i="1"/>
  <c r="M56" i="1"/>
  <c r="M62" i="1"/>
  <c r="M68" i="1"/>
  <c r="M74" i="1"/>
  <c r="M80" i="1"/>
  <c r="M86" i="1"/>
  <c r="M92" i="1"/>
  <c r="M98" i="1"/>
  <c r="M104" i="1"/>
  <c r="M110" i="1"/>
  <c r="M116" i="1"/>
  <c r="M122" i="1"/>
  <c r="M128" i="1"/>
  <c r="M134" i="1"/>
  <c r="M140" i="1"/>
  <c r="M146" i="1"/>
  <c r="M152" i="1"/>
  <c r="M158" i="1"/>
  <c r="M164" i="1"/>
  <c r="M170" i="1"/>
  <c r="M176" i="1"/>
  <c r="M182" i="1"/>
  <c r="M188" i="1"/>
  <c r="M194" i="1"/>
  <c r="M200" i="1"/>
  <c r="M206" i="1"/>
  <c r="M212" i="1"/>
  <c r="M218" i="1"/>
  <c r="M224" i="1"/>
  <c r="M230" i="1"/>
  <c r="M236" i="1"/>
  <c r="M242" i="1"/>
  <c r="M248" i="1"/>
  <c r="M254" i="1"/>
  <c r="M260" i="1"/>
  <c r="M266" i="1"/>
  <c r="M272" i="1"/>
  <c r="M278" i="1"/>
  <c r="M284" i="1"/>
  <c r="M290" i="1"/>
  <c r="M296" i="1"/>
  <c r="M308" i="1"/>
  <c r="M314" i="1"/>
  <c r="M320" i="1"/>
  <c r="M326" i="1"/>
  <c r="M332" i="1"/>
  <c r="M338" i="1"/>
  <c r="M344" i="1"/>
  <c r="M350" i="1"/>
  <c r="M356" i="1"/>
  <c r="M362" i="1"/>
  <c r="M368" i="1"/>
  <c r="M374" i="1"/>
  <c r="M380" i="1"/>
  <c r="M386" i="1"/>
  <c r="M392" i="1"/>
  <c r="M398" i="1"/>
  <c r="M404" i="1"/>
  <c r="M410" i="1"/>
  <c r="M416" i="1"/>
  <c r="M422" i="1"/>
  <c r="M428" i="1"/>
  <c r="M434" i="1"/>
  <c r="M440" i="1"/>
  <c r="M446" i="1"/>
  <c r="M452" i="1"/>
  <c r="M458" i="1"/>
  <c r="M464" i="1"/>
  <c r="M470" i="1"/>
  <c r="M476" i="1"/>
  <c r="M482" i="1"/>
  <c r="M488" i="1"/>
  <c r="M494" i="1"/>
  <c r="M500" i="1"/>
  <c r="M506" i="1"/>
  <c r="M512" i="1"/>
  <c r="M518" i="1"/>
  <c r="M524" i="1"/>
  <c r="M530" i="1"/>
  <c r="M536" i="1"/>
  <c r="M542" i="1"/>
  <c r="M548" i="1"/>
  <c r="M554" i="1"/>
  <c r="M560" i="1"/>
  <c r="M566" i="1"/>
  <c r="M572" i="1"/>
  <c r="M578" i="1"/>
  <c r="M584" i="1"/>
  <c r="M590" i="1"/>
  <c r="M596" i="1"/>
  <c r="M602" i="1"/>
  <c r="M608" i="1"/>
  <c r="M614" i="1"/>
  <c r="M620" i="1"/>
  <c r="M626" i="1"/>
  <c r="M632" i="1"/>
  <c r="M638" i="1"/>
  <c r="M644" i="1"/>
  <c r="M650" i="1"/>
  <c r="M656" i="1"/>
  <c r="M662" i="1"/>
  <c r="M668" i="1"/>
  <c r="M674" i="1"/>
  <c r="M680" i="1"/>
  <c r="M686" i="1"/>
  <c r="M692" i="1"/>
  <c r="M698" i="1"/>
  <c r="M704" i="1"/>
  <c r="M710" i="1"/>
  <c r="M716" i="1"/>
  <c r="M722" i="1"/>
  <c r="M728" i="1"/>
  <c r="M734" i="1"/>
  <c r="M302" i="1"/>
  <c r="F5" i="4"/>
  <c r="M114" i="1"/>
  <c r="M102" i="1"/>
  <c r="M108" i="1"/>
  <c r="M120" i="1"/>
  <c r="M217" i="1"/>
  <c r="M223" i="1"/>
  <c r="M229" i="1"/>
  <c r="M706" i="1"/>
  <c r="M712" i="1"/>
  <c r="M724" i="1"/>
  <c r="M736" i="1"/>
  <c r="M748" i="1"/>
  <c r="M760" i="1"/>
  <c r="M718" i="1"/>
  <c r="M742" i="1"/>
  <c r="M32" i="1"/>
  <c r="M15" i="1"/>
  <c r="M21" i="1"/>
  <c r="M27" i="1"/>
  <c r="M33" i="1"/>
  <c r="M39" i="1"/>
  <c r="M45" i="1"/>
  <c r="M51" i="1"/>
  <c r="M57" i="1"/>
  <c r="M63" i="1"/>
  <c r="M69" i="1"/>
  <c r="M75" i="1"/>
  <c r="M81" i="1"/>
  <c r="M87" i="1"/>
  <c r="M93" i="1"/>
  <c r="M99" i="1"/>
  <c r="M105" i="1"/>
  <c r="M111" i="1"/>
  <c r="M117" i="1"/>
  <c r="M123" i="1"/>
  <c r="M129" i="1"/>
  <c r="M135" i="1"/>
  <c r="M141" i="1"/>
  <c r="M147" i="1"/>
  <c r="M153" i="1"/>
  <c r="M159" i="1"/>
  <c r="M165" i="1"/>
  <c r="M171" i="1"/>
  <c r="M177" i="1"/>
  <c r="M183" i="1"/>
  <c r="M189" i="1"/>
  <c r="M195" i="1"/>
  <c r="M201" i="1"/>
  <c r="M207" i="1"/>
  <c r="M213" i="1"/>
  <c r="M219" i="1"/>
  <c r="M225" i="1"/>
  <c r="M231" i="1"/>
  <c r="M237" i="1"/>
  <c r="M243" i="1"/>
  <c r="M249" i="1"/>
  <c r="M255" i="1"/>
  <c r="M261" i="1"/>
  <c r="M267" i="1"/>
  <c r="M273" i="1"/>
  <c r="M279" i="1"/>
  <c r="M285" i="1"/>
  <c r="M291" i="1"/>
  <c r="M297" i="1"/>
  <c r="M303" i="1"/>
  <c r="M309" i="1"/>
  <c r="M315" i="1"/>
  <c r="M321" i="1"/>
  <c r="M327" i="1"/>
  <c r="M333" i="1"/>
  <c r="M339" i="1"/>
  <c r="M345" i="1"/>
  <c r="M351" i="1"/>
  <c r="M357" i="1"/>
  <c r="M363" i="1"/>
  <c r="M369" i="1"/>
  <c r="M375" i="1"/>
  <c r="M381" i="1"/>
  <c r="M387" i="1"/>
  <c r="M393" i="1"/>
  <c r="M399" i="1"/>
  <c r="M405" i="1"/>
  <c r="M411" i="1"/>
  <c r="M417" i="1"/>
  <c r="M423" i="1"/>
  <c r="M429" i="1"/>
  <c r="M435" i="1"/>
  <c r="M441" i="1"/>
  <c r="M447" i="1"/>
  <c r="M453" i="1"/>
  <c r="M459" i="1"/>
  <c r="M465" i="1"/>
  <c r="M471" i="1"/>
  <c r="M477" i="1"/>
  <c r="M483" i="1"/>
  <c r="M489" i="1"/>
  <c r="M495" i="1"/>
  <c r="M501" i="1"/>
  <c r="M507" i="1"/>
  <c r="M513" i="1"/>
  <c r="M519" i="1"/>
  <c r="M525" i="1"/>
  <c r="M531" i="1"/>
  <c r="M537" i="1"/>
  <c r="M543" i="1"/>
  <c r="M549" i="1"/>
  <c r="M555" i="1"/>
  <c r="M561" i="1"/>
  <c r="M567" i="1"/>
  <c r="M573" i="1"/>
  <c r="M579" i="1"/>
  <c r="M585" i="1"/>
  <c r="M591" i="1"/>
  <c r="M597" i="1"/>
  <c r="M603" i="1"/>
  <c r="M609" i="1"/>
  <c r="M615" i="1"/>
  <c r="M621" i="1"/>
  <c r="M627" i="1"/>
  <c r="M633" i="1"/>
  <c r="M639" i="1"/>
  <c r="M645" i="1"/>
  <c r="M651" i="1"/>
  <c r="M657" i="1"/>
  <c r="M663" i="1"/>
  <c r="M669" i="1"/>
  <c r="M675" i="1"/>
  <c r="M681" i="1"/>
  <c r="M687" i="1"/>
  <c r="M693" i="1"/>
  <c r="M699" i="1"/>
  <c r="M705" i="1"/>
  <c r="M711" i="1"/>
  <c r="M717" i="1"/>
  <c r="M723" i="1"/>
  <c r="M729" i="1"/>
  <c r="M735" i="1"/>
  <c r="M741" i="1"/>
  <c r="M747" i="1"/>
  <c r="M753" i="1"/>
  <c r="M759" i="1"/>
  <c r="M765" i="1"/>
  <c r="M771" i="1"/>
  <c r="M777" i="1"/>
  <c r="M783" i="1"/>
  <c r="M789" i="1"/>
  <c r="M795" i="1"/>
  <c r="M801" i="1"/>
  <c r="M807" i="1"/>
  <c r="M813" i="1"/>
  <c r="M819" i="1"/>
  <c r="M825" i="1"/>
  <c r="M831" i="1"/>
  <c r="M837" i="1"/>
  <c r="M843" i="1"/>
  <c r="M849" i="1"/>
  <c r="M855" i="1"/>
  <c r="M861" i="1"/>
  <c r="M867" i="1"/>
  <c r="M873" i="1"/>
  <c r="M879" i="1"/>
  <c r="M885" i="1"/>
  <c r="M891" i="1"/>
  <c r="M897" i="1"/>
  <c r="M903" i="1"/>
  <c r="M909" i="1"/>
  <c r="M915" i="1"/>
  <c r="M921" i="1"/>
  <c r="M927" i="1"/>
  <c r="M933" i="1"/>
  <c r="M939" i="1"/>
  <c r="M945" i="1"/>
  <c r="M951" i="1"/>
  <c r="M957" i="1"/>
  <c r="M963" i="1"/>
  <c r="M969" i="1"/>
  <c r="M975" i="1"/>
  <c r="M981" i="1"/>
  <c r="M987" i="1"/>
  <c r="M993" i="1"/>
  <c r="M999" i="1"/>
  <c r="M1005" i="1"/>
  <c r="M1011" i="1"/>
  <c r="H13" i="4"/>
  <c r="C14" i="4" s="1"/>
  <c r="H15" i="4"/>
  <c r="C16" i="4" s="1"/>
  <c r="H17" i="4"/>
  <c r="C18" i="4" s="1"/>
  <c r="H23" i="4"/>
  <c r="C24" i="4" s="1"/>
  <c r="H25" i="4"/>
  <c r="C26" i="4" s="1"/>
  <c r="H27" i="4"/>
  <c r="C28" i="4" s="1"/>
  <c r="H29" i="4"/>
  <c r="C30" i="4" s="1"/>
  <c r="H35" i="4"/>
  <c r="C36" i="4" s="1"/>
  <c r="H37" i="4"/>
  <c r="C38" i="4" s="1"/>
  <c r="H39" i="4"/>
  <c r="C40" i="4" s="1"/>
  <c r="D18" i="4" l="1"/>
  <c r="D30" i="4"/>
  <c r="F30" i="4"/>
  <c r="E30" i="4"/>
  <c r="I13" i="4"/>
  <c r="I14" i="4" s="1"/>
  <c r="I29" i="4"/>
  <c r="I30" i="4" s="1"/>
  <c r="F18" i="4"/>
  <c r="E18" i="4"/>
  <c r="F26" i="4"/>
  <c r="D38" i="4"/>
  <c r="G18" i="4"/>
  <c r="C8" i="4"/>
  <c r="C6" i="4"/>
  <c r="E26" i="4"/>
  <c r="D8" i="4"/>
  <c r="D26" i="4"/>
  <c r="D6" i="4"/>
  <c r="E6" i="4"/>
  <c r="I17" i="4"/>
  <c r="I18" i="4" s="1"/>
  <c r="G14" i="4"/>
  <c r="F14" i="4"/>
  <c r="E14" i="4"/>
  <c r="G30" i="4"/>
  <c r="D14" i="4"/>
  <c r="C4" i="4"/>
  <c r="F38" i="4"/>
  <c r="I25" i="4"/>
  <c r="I26" i="4" s="1"/>
  <c r="I37" i="4"/>
  <c r="I38" i="4" s="1"/>
  <c r="G38" i="4"/>
  <c r="E38" i="4"/>
  <c r="G26" i="4"/>
  <c r="G40" i="4"/>
  <c r="G36" i="4"/>
  <c r="G28" i="4"/>
  <c r="G24" i="4"/>
  <c r="G16" i="4"/>
  <c r="E4" i="4"/>
  <c r="I39" i="4"/>
  <c r="I40" i="4" s="1"/>
  <c r="I35" i="4"/>
  <c r="I36" i="4" s="1"/>
  <c r="I27" i="4"/>
  <c r="I28" i="4" s="1"/>
  <c r="I23" i="4"/>
  <c r="I24" i="4" s="1"/>
  <c r="I15" i="4"/>
  <c r="I16" i="4" s="1"/>
  <c r="F40" i="4"/>
  <c r="F36" i="4"/>
  <c r="F28" i="4"/>
  <c r="F24" i="4"/>
  <c r="F16" i="4"/>
  <c r="E40" i="4"/>
  <c r="E36" i="4"/>
  <c r="E28" i="4"/>
  <c r="E24" i="4"/>
  <c r="E16" i="4"/>
  <c r="D4" i="4"/>
  <c r="D40" i="4"/>
  <c r="D36" i="4"/>
  <c r="D28" i="4"/>
  <c r="D24" i="4"/>
  <c r="D16" i="4"/>
  <c r="F8" i="4" l="1"/>
  <c r="G8" i="4" s="1"/>
  <c r="H30" i="4"/>
  <c r="H38" i="4"/>
  <c r="H18" i="4"/>
  <c r="H26" i="4"/>
  <c r="F6" i="4"/>
  <c r="G6" i="4" s="1"/>
  <c r="H14" i="4"/>
  <c r="H24" i="4"/>
  <c r="H28" i="4"/>
  <c r="H40" i="4"/>
  <c r="H36" i="4"/>
  <c r="F4" i="4"/>
  <c r="G4" i="4" s="1"/>
  <c r="H16" i="4"/>
</calcChain>
</file>

<file path=xl/sharedStrings.xml><?xml version="1.0" encoding="utf-8"?>
<sst xmlns="http://schemas.openxmlformats.org/spreadsheetml/2006/main" count="1413" uniqueCount="740">
  <si>
    <t>ID</t>
  </si>
  <si>
    <t>Requirement Type</t>
  </si>
  <si>
    <t>Category</t>
  </si>
  <si>
    <t>Requirement Name</t>
  </si>
  <si>
    <t>Description</t>
  </si>
  <si>
    <t>Priority</t>
  </si>
  <si>
    <t>Level of compliance</t>
  </si>
  <si>
    <t>Online/Offline</t>
  </si>
  <si>
    <t>Dependent on other systems</t>
  </si>
  <si>
    <t>Dependent System(s)</t>
  </si>
  <si>
    <t>Score</t>
  </si>
  <si>
    <t>Weight</t>
  </si>
  <si>
    <t>Weighted Score</t>
  </si>
  <si>
    <t>ACSA-FR-UC01-REQ001</t>
  </si>
  <si>
    <t>Functional</t>
  </si>
  <si>
    <t>Declaration</t>
  </si>
  <si>
    <t>Capture Declaration</t>
  </si>
  <si>
    <t xml:space="preserve">The system shall capture declarations for normal, late, and delayed registrations for vital events (birth, death, marriage and divorce). </t>
  </si>
  <si>
    <t>Must</t>
  </si>
  <si>
    <t>ACSA-FR-UC01-REQ002</t>
  </si>
  <si>
    <t>Generate Declaration ID</t>
  </si>
  <si>
    <t>The system shall generate a unique Declaration ID for each declaration record.</t>
  </si>
  <si>
    <t>ACSA-FR-UC01-REQ003</t>
  </si>
  <si>
    <t>Attach Evidence</t>
  </si>
  <si>
    <t>The system shall allow attaching or referencing supporting documents and attestations.</t>
  </si>
  <si>
    <t>ACSA-FR-UC01-REQ004</t>
  </si>
  <si>
    <t>Declaration-to-Registration Linkage</t>
  </si>
  <si>
    <t>The system shall support linkage between a declaration and the subsequent registration record.</t>
  </si>
  <si>
    <t>ACSA-FR-UC01-REQ005</t>
  </si>
  <si>
    <t>Support Multiple Channels</t>
  </si>
  <si>
    <t>The system shall support multiple declaration models (facility-assisted, community, self-service portal, consular).</t>
  </si>
  <si>
    <t>ACSA-FR-UC01-REQ006</t>
  </si>
  <si>
    <t>Notification Retrieval</t>
  </si>
  <si>
    <t>The system shall retrieve notification information using a notification number where available.</t>
  </si>
  <si>
    <t>ACSA-FR-UC01-REQ007</t>
  </si>
  <si>
    <t xml:space="preserve">Validation </t>
  </si>
  <si>
    <t>The system shall validate mandatory fields and logical consistency before accepting a declaration.</t>
  </si>
  <si>
    <t>ACSA-FR-UC01-REQ008</t>
  </si>
  <si>
    <t>Acknowledge Submission</t>
  </si>
  <si>
    <t>The system shall issue an acknowledgement slip, SMS, email, or tracking receipt to the declarant.</t>
  </si>
  <si>
    <t>ACSA-FR-UC01-REQ009</t>
  </si>
  <si>
    <t>Audit Trail</t>
  </si>
  <si>
    <t>The system shall maintain an audit trail for the user, channel, time of submission, and any subsequent edits or escalations.</t>
  </si>
  <si>
    <t>ACSA-FR-UC01-REQ010</t>
  </si>
  <si>
    <t>Deduplication</t>
  </si>
  <si>
    <t>The system shall automatically detect and alert users to duplicate records and provide options for merging, invalidating, or dismissing records.</t>
  </si>
  <si>
    <t>ACSA-FR-UC02-REQ001</t>
  </si>
  <si>
    <t>Registration</t>
  </si>
  <si>
    <t>Create Legal Record</t>
  </si>
  <si>
    <t>The system shall create the official legal civil registration record after declaration review and verification.</t>
  </si>
  <si>
    <t>ACSA-FR-UC02-REQ002</t>
  </si>
  <si>
    <t>Generate Registration ID</t>
  </si>
  <si>
    <t>The system shall generate a unique Registration ID for the official record linking it to the declaration ID.</t>
  </si>
  <si>
    <t>ACSA-FR-UC02-REQ003</t>
  </si>
  <si>
    <t>Assign or Link UIN</t>
  </si>
  <si>
    <t xml:space="preserve">The system shall link to the UID issuing authority and request the issuance of a new UID for a birth, update the UID on marriage registration, if needed, and retire the UID on death registration. </t>
  </si>
  <si>
    <t>ACSA-FR-UC02-REQ004</t>
  </si>
  <si>
    <t>Maintain Registrar History</t>
  </si>
  <si>
    <t>The system shall maintain the registrar's approval history, including endorsement details, timestamps, and office codes.</t>
  </si>
  <si>
    <t>ACSA-FR-UC02-REQ005</t>
  </si>
  <si>
    <t>Enforce Non-Deletion</t>
  </si>
  <si>
    <t>The system shall enforce that registration records cannot be deleted; they may only be amended through an authorized process.</t>
  </si>
  <si>
    <t>ACSA-FR-UC02-REQ006</t>
  </si>
  <si>
    <t>Registrar Authorization</t>
  </si>
  <si>
    <t>The system shall ensure that only an authorized or delegated registrar may complete a registration.</t>
  </si>
  <si>
    <t>ACSA-FR-UC02-REQ007</t>
  </si>
  <si>
    <t>Form Completion</t>
  </si>
  <si>
    <t xml:space="preserve">The system shall allow authorized users to verify the completeness of declaration forms and complete them when information is incomplete or missing. </t>
  </si>
  <si>
    <t>ACSA-FR-UC02-REQ008</t>
  </si>
  <si>
    <t>Prompts and Alerts</t>
  </si>
  <si>
    <t>The system shall provide prompts and alerts according to configured protocol.</t>
  </si>
  <si>
    <t>ACSA-FR-UC02-REQ009</t>
  </si>
  <si>
    <t xml:space="preserve">Suspension and Cancellation </t>
  </si>
  <si>
    <t xml:space="preserve">The system shall allow suspension or cancellation of a registration record if proven and authorized by the competent authority that registration was done in a fraudalent manner or by furnishing wrong information. </t>
  </si>
  <si>
    <t>ACSA-FR-UC03-REQ001</t>
  </si>
  <si>
    <t>Certification</t>
  </si>
  <si>
    <t>Generate Certificate</t>
  </si>
  <si>
    <t>The system shall generate digital or physical certificates derived from finalized registration records.</t>
  </si>
  <si>
    <t>ACSA-FR-UC03-REQ002</t>
  </si>
  <si>
    <t>Support Certificate Types</t>
  </si>
  <si>
    <t>The system shall support multi-formatted and multilingual certificate models.</t>
  </si>
  <si>
    <t>ACSA-FR-UC03-REQ003</t>
  </si>
  <si>
    <t>Anti-Fraud Controls</t>
  </si>
  <si>
    <t xml:space="preserve">The system shall include anti-fraud controls on certificates (e.g., QR codes, serial numbers, digital signatures). QR code should be digitally signed or verifiable as a lot of countries print QR code with plain text. </t>
  </si>
  <si>
    <t>ACSA-FR-UC03-REQ004</t>
  </si>
  <si>
    <t>Manage Issuance &amp; Reprints</t>
  </si>
  <si>
    <t>The system shall support first certificate issuance, additional copies, and reprints, including payment and delivery options.</t>
  </si>
  <si>
    <t>ACSA-FR-UC03-REQ005</t>
  </si>
  <si>
    <t>Verification Features</t>
  </si>
  <si>
    <t>The system shall provide verification features for certificates, such as QR code lookup or serial number validation.</t>
  </si>
  <si>
    <t>ACSA-FR-UC03-REQ006</t>
  </si>
  <si>
    <t>Audit Issuance</t>
  </si>
  <si>
    <t>The system shall log issuance, reprint count, delivery status, and receipt acknowledgement.</t>
  </si>
  <si>
    <t>ACSA-FR-UC03-REQ007</t>
  </si>
  <si>
    <t>Internal Submission and Approval</t>
  </si>
  <si>
    <t>The system shall allow internal processes for certificate submission and approvals.</t>
  </si>
  <si>
    <t>ACSA-FR-UC03-REQ008</t>
  </si>
  <si>
    <t>Print Forms and Certificates</t>
  </si>
  <si>
    <t xml:space="preserve">The system shall allow authorized users, including clients, to print certificates. </t>
  </si>
  <si>
    <t>ACSA-FR-UC04-REQ001</t>
  </si>
  <si>
    <t>Amendments &amp; Corrections</t>
  </si>
  <si>
    <t>Support Amendment Requests</t>
  </si>
  <si>
    <t>The system shall support amendment and correction requests, including administrative and substantive changes.</t>
  </si>
  <si>
    <t>ACSA-FR-UC04-REQ002</t>
  </si>
  <si>
    <t>Approval Workflows</t>
  </si>
  <si>
    <t>The system shall provide configurable approval workflows for different types of corrections (clerical vs. judicial).</t>
  </si>
  <si>
    <t>ACSA-FR-UC04-REQ003</t>
  </si>
  <si>
    <t>Maintain Version History</t>
  </si>
  <si>
    <t>The system shall preserve original values and maintain a versioned audit trail of all changes.</t>
  </si>
  <si>
    <t>ACSA-FR-UC04-REQ004</t>
  </si>
  <si>
    <t>Revise Certificate Issuance</t>
  </si>
  <si>
    <t>The system shall issue a revised certificate upon approval of an amendment and flag superseded versions.</t>
  </si>
  <si>
    <t>ACSA-FR-UC04-REQ005</t>
  </si>
  <si>
    <t>Downstream Notification</t>
  </si>
  <si>
    <t>The system shall notify integrated downstream systems (e.g., National ID) of approved changes.</t>
  </si>
  <si>
    <t>ACSA-FR-UC05-REQ001</t>
  </si>
  <si>
    <t>Client Messaging</t>
  </si>
  <si>
    <t>Send Status Messages</t>
  </si>
  <si>
    <t>The system shall send case-status messages to clients and authorized stakeholders (e.g., notification, declaration, registration stages).</t>
  </si>
  <si>
    <t>Should</t>
  </si>
  <si>
    <t>ACSA-FR-UC05-REQ002</t>
  </si>
  <si>
    <t>Maintain Delivery Logs</t>
  </si>
  <si>
    <t>The system shall maintain delivery logs, including message ID, gateway response, delivery status, timestamps, and retries.</t>
  </si>
  <si>
    <t>ACSA-FR-UC05-REQ003</t>
  </si>
  <si>
    <t>Support Follow-up Actions</t>
  </si>
  <si>
    <t>The system shall support follow-up actions for missing information, appointment coordination, and failed deliveries.</t>
  </si>
  <si>
    <t>ACSA-FR-UC05-REQ004</t>
  </si>
  <si>
    <t>Privacy Protection</t>
  </si>
  <si>
    <t>The system shall ensure sensitive personal data is not sent through insecure channels and use reference numbers instead.</t>
  </si>
  <si>
    <t>ACSA-FR-UC06-REQ001</t>
  </si>
  <si>
    <t>Master Data &amp; Identifiers</t>
  </si>
  <si>
    <t>Maintain Reference Data</t>
  </si>
  <si>
    <t>The system shall maintain authoritative master data for locations, facilities, offices, users, registrars, devices (at least core devices), and reference values.</t>
  </si>
  <si>
    <t>ACSA-FR-UC06-REQ002</t>
  </si>
  <si>
    <t>Manage Unique Identifiers</t>
  </si>
  <si>
    <t>The system shall manage unique identifiers and coding schemes across the CRVS ecosystem.</t>
  </si>
  <si>
    <t>ACSA-FR-UC06-REQ003</t>
  </si>
  <si>
    <t>Preserve Historical Mappings</t>
  </si>
  <si>
    <t>The system shall preserve historical mappings and effective dates for administrative boundary or facility changes.</t>
  </si>
  <si>
    <t>ACSA-FR-UC06-REQ004</t>
  </si>
  <si>
    <t>Audit Master Data Changes</t>
  </si>
  <si>
    <t>The system shall ensure all master data and identifier changes are traceable and auditable.</t>
  </si>
  <si>
    <t>ACSA-FR-UC07-REQ001</t>
  </si>
  <si>
    <t>Payment and Fees</t>
  </si>
  <si>
    <t>Calculate Fees</t>
  </si>
  <si>
    <t>The system shall calculate applicable fees based on service type, applicant category, urgency, and penalties for late and delayed registration.</t>
  </si>
  <si>
    <t>ACSA-FR-UC07-REQ002</t>
  </si>
  <si>
    <t>Validate Payments</t>
  </si>
  <si>
    <t>The system shall validate payments made via various channels (mobile money, cash, online gateway).</t>
  </si>
  <si>
    <t>ACSA-FR-UC07-REQ003</t>
  </si>
  <si>
    <t>Issue Receipts</t>
  </si>
  <si>
    <t>The system shall issue a receipt (paper or digital) for every accepted payment.</t>
  </si>
  <si>
    <t>ACSA-FR-UC07-REQ004</t>
  </si>
  <si>
    <t>Support Reconciliation</t>
  </si>
  <si>
    <t>The system shall support reconciliation of transactions by channel, cashier, date, and purpose.</t>
  </si>
  <si>
    <t>ACSA-FR-UC07-REQ005</t>
  </si>
  <si>
    <t>Handle Waivers/Discounts</t>
  </si>
  <si>
    <t>The system shall support approved exemptions, waivers, and discounts with authorization and audit logging.</t>
  </si>
  <si>
    <t>ACSA-FR-UC07-REQ006</t>
  </si>
  <si>
    <t>Payment Exceptions</t>
  </si>
  <si>
    <t>The system shall support controlled exception workflows for duplicate payments, failed payments, refunds, and chargebacks.</t>
  </si>
  <si>
    <t>ACSA-FR-UC08-REQ001</t>
  </si>
  <si>
    <t>Vital Statistics</t>
  </si>
  <si>
    <t>Generate Statistical Outputs</t>
  </si>
  <si>
    <t>The system shall generate statistical tables, indicators, dashboards, and exports from validated registration data.</t>
  </si>
  <si>
    <t>Could</t>
  </si>
  <si>
    <t>ACSA-FR-UC08-REQ002</t>
  </si>
  <si>
    <t>Adhere to Standards</t>
  </si>
  <si>
    <t>The system shall align vital statistics outputs with UN principles/recommendations and national standards.</t>
  </si>
  <si>
    <t>ACSA-FR-UC08-REQ003</t>
  </si>
  <si>
    <t>Anonymize Data</t>
  </si>
  <si>
    <t>The system shall mask, remove, or suppress personally identifiable information (PII) in statistical outputs.</t>
  </si>
  <si>
    <t>ACSA-FR-UC08-REQ004</t>
  </si>
  <si>
    <t>Apply Disclosure Control</t>
  </si>
  <si>
    <t>The system shall store extraction date, cut-off date, reference period, code-list version, inclusion rules, publication version, confidentiality flags, reviewer/approver details, and distribution log.</t>
  </si>
  <si>
    <t>ACSA-FR-UC08-REQ005</t>
  </si>
  <si>
    <t>Store Publication Metadata</t>
  </si>
  <si>
    <t>The system shall support data quality checks for completeness, consistency, duplicate impacts, outliers, age-heaping, coding issues, and other agreed indicators.</t>
  </si>
  <si>
    <t>ACSA-FR-UC08-REQ006</t>
  </si>
  <si>
    <t>Data Quality Checks</t>
  </si>
  <si>
    <t>The system shall enable capture, update, and processing of a declaration using devices without internet connectivity.</t>
  </si>
  <si>
    <t>ACSA-FR-UC09-REQ001</t>
  </si>
  <si>
    <t>Mobile &amp; Offline</t>
  </si>
  <si>
    <t>Offline Capture</t>
  </si>
  <si>
    <t>ACSA-FR-UC09-REQ002</t>
  </si>
  <si>
    <t>Secure Local Storage</t>
  </si>
  <si>
    <t>The system shall encrypt offline data at rest on the device and make it accessible only to authorized users.</t>
  </si>
  <si>
    <t>ACSA-FR-UC09-REQ003</t>
  </si>
  <si>
    <t>Data Synchronization</t>
  </si>
  <si>
    <t>The system shall synchronize offline records with the central CRVS database once connectivity is restored.</t>
  </si>
  <si>
    <t>ACSA-FR-UC09-REQ004</t>
  </si>
  <si>
    <t>Conflict Resolution</t>
  </si>
  <si>
    <t>The system shall apply duplicate detection and conflict resolution when records are uploaded from offline devices.</t>
  </si>
  <si>
    <t>ACSA-FR-UC09-REQ005</t>
  </si>
  <si>
    <t>Audit Traceability</t>
  </si>
  <si>
    <t>The system shall maintain an audit trail from device capture to central synchronization (device ID, user ID, timestamps).</t>
  </si>
  <si>
    <t>ACSA-FR-UC09-REQ006</t>
  </si>
  <si>
    <t>Offline Authentication</t>
  </si>
  <si>
    <t>The system shall support secure offline authentication using cached credentials or another approved mechanism.</t>
  </si>
  <si>
    <t>ACSA-FR-UC09-REQ007</t>
  </si>
  <si>
    <t>Offline Identifier Reconciliation</t>
  </si>
  <si>
    <t>The system shall reconcile temporary or preallocated offline identifiers with official central identifiers after synchronization.</t>
  </si>
  <si>
    <t>ACSA-FR-UC10-REQ001</t>
  </si>
  <si>
    <t>Authentication &amp; Certificate Verification</t>
  </si>
  <si>
    <t>Provide Verification Service</t>
  </si>
  <si>
    <t>The system shall provide a secure service to verify civil registration certificates and underlying event records through a verifiable credentials platform (if available) – the CRVS system should not try to re-create such a platform.</t>
  </si>
  <si>
    <t>ACSA-FR-UC10-REQ002</t>
  </si>
  <si>
    <t>The system shall support multiple verification channels: online portal, QR/barcode scan, API, and offline verification.</t>
  </si>
  <si>
    <t>ACSA-FR-UC10-REQ003</t>
  </si>
  <si>
    <t>Enforce Access Control</t>
  </si>
  <si>
    <t>The system shall enforce differentiated access levels (public vs. restricted) based on legal frameworks and user credentials.</t>
  </si>
  <si>
    <t>ACSA-FR-UC10-REQ004</t>
  </si>
  <si>
    <t>Maintain Audit Log</t>
  </si>
  <si>
    <t>The system shall maintain a complete audit trail of all verification attempts, including user, channel, and timestamp.</t>
  </si>
  <si>
    <t>ACSA-FR-UC10-REQ005</t>
  </si>
  <si>
    <t>Differentiated Verification Responses</t>
  </si>
  <si>
    <t>The system shall support differentiated verification responses, ranging from yes/no confirmation to full legal verification according to user authorization and legal rules.</t>
  </si>
  <si>
    <t>ACSA-FR-UC11-REQ001</t>
  </si>
  <si>
    <t>Duplication Management</t>
  </si>
  <si>
    <t>Detect Duplicates</t>
  </si>
  <si>
    <t>The system shall detect and prevent duplicate registrations using scheduled or event-based matching algorithms.</t>
  </si>
  <si>
    <t>ACSA-FR-UC11-REQ002</t>
  </si>
  <si>
    <t>Provide Resolution Workflow</t>
  </si>
  <si>
    <t>The system shall provide a workflow for resolving data conflicts and potential duplicate records (merge, false positive, invalidate).</t>
  </si>
  <si>
    <t>ACSA-FR-UC11-REQ003</t>
  </si>
  <si>
    <t>Enforce Uniqueness</t>
  </si>
  <si>
    <t>The system shall ensure that each vital event and each individual has a unique identifier (e.g., Unique ID/PIN).</t>
  </si>
  <si>
    <t>ACSA-FR-UC11-REQ004</t>
  </si>
  <si>
    <t>Archive Original Records</t>
  </si>
  <si>
    <t>The system shall archive original records when merged or invalidated, never physically deleting them from the database.</t>
  </si>
  <si>
    <t>ACSA-FR-UC11-REQ005</t>
  </si>
  <si>
    <t>Configure Matching Rules</t>
  </si>
  <si>
    <t>The system shall allow administrators to configure matching thresholds, matching rules, blocking parameters, and review queues.</t>
  </si>
  <si>
    <t>ACSA-FR-UC11-REQ006</t>
  </si>
  <si>
    <t>Side-by-Side Duplicate Review</t>
  </si>
  <si>
    <t>The system shall display potential duplicate records side by side with matching information highlighted for registrar review.</t>
  </si>
  <si>
    <t>ACSA-FR-UC12-REQ001</t>
  </si>
  <si>
    <t>Case Workflow Management</t>
  </si>
  <si>
    <t>Support Configurable Workflows</t>
  </si>
  <si>
    <t>The system shall support configurable workflows for different event types (birth, death, marriage).</t>
  </si>
  <si>
    <t>ACSA-FR-UC12-REQ002</t>
  </si>
  <si>
    <t>Role-based Task Assignment</t>
  </si>
  <si>
    <t>The system shall provide role-based task assignments and work queues (e.g., clerk, registrar, supervisor).</t>
  </si>
  <si>
    <t>ACSA-FR-UC12-REQ003</t>
  </si>
  <si>
    <t>Generate Unique Registration Number</t>
  </si>
  <si>
    <t>The system shall generate a unique registration number upon final approval of a case.</t>
  </si>
  <si>
    <t>ACSA-FR-UC12-REQ004</t>
  </si>
  <si>
    <t>Send Status Notifications</t>
  </si>
  <si>
    <t>The system shall  send status notifications to informants at critical stages (submission, approval, rejection).</t>
  </si>
  <si>
    <t>ACSA-FR-UC12-REQ005</t>
  </si>
  <si>
    <t>Enforce State Transitions</t>
  </si>
  <si>
    <t>The system shall enforce that state transitions follow configured workflow paths and user roles.</t>
  </si>
  <si>
    <t>ACSA-FR-UC12-REQ006</t>
  </si>
  <si>
    <t>Monitor SLA &amp; Escalate</t>
  </si>
  <si>
    <t>The system shall monitor Service Level Agreements (SLAs) and automatically escalate breached or at-risk cases.</t>
  </si>
  <si>
    <t>ACSA-FR-UC12-REQ007</t>
  </si>
  <si>
    <t>Immutable Status History</t>
  </si>
  <si>
    <t>The system shall maintain immutable status history for each case, including old state, new state, actor, timestamp, and comments.</t>
  </si>
  <si>
    <t>ACSA-FR-UC12-REQ008</t>
  </si>
  <si>
    <t>Authorized Case Reassignment</t>
  </si>
  <si>
    <t>The system shall support authorized reassignment of cases with reason capture and audit logging.</t>
  </si>
  <si>
    <t>ACSA-FR-UC13-REQ001</t>
  </si>
  <si>
    <t>User Management</t>
  </si>
  <si>
    <t>Support Role-Based Access Control (RBAC)</t>
  </si>
  <si>
    <t>The system shall support role-based access control (RBAC) for all functions.</t>
  </si>
  <si>
    <t>ACSA-FR-UC13-REQ002</t>
  </si>
  <si>
    <t>Enforce Strong Password Policies</t>
  </si>
  <si>
    <t>The system shall enforce strong password policies (minimum length, complexity, expiry).</t>
  </si>
  <si>
    <t>ACSA-FR-UC13-REQ003</t>
  </si>
  <si>
    <t>Provide Audit Trail</t>
  </si>
  <si>
    <t>The system shall provide an audit trail of all user management activities (create, update, disable, delete).</t>
  </si>
  <si>
    <t>ACSA-FR-UC13-REQ004</t>
  </si>
  <si>
    <t>Allow Administrator Management</t>
  </si>
  <si>
    <t>The system shall allow administrators to manage user accounts (create, read, update, disable, delete).</t>
  </si>
  <si>
    <t>ACSA-FR-UC13-REQ005</t>
  </si>
  <si>
    <t>Geographic Scope Assignment</t>
  </si>
  <si>
    <t>The system shall support geographic scope assignment for users to restrict data access by jurisdiction.</t>
  </si>
  <si>
    <t>ACSA-FR-UC13-REQ006</t>
  </si>
  <si>
    <t>Terminate Disabled User Sessions</t>
  </si>
  <si>
    <t>The system shall terminate active sessions immediately when a user account is disabled.</t>
  </si>
  <si>
    <t>ACSA-FR-UC13-REQ007</t>
  </si>
  <si>
    <t>Periodic User Access Review</t>
  </si>
  <si>
    <t>The system shall support periodic review of active users and assigned roles.</t>
  </si>
  <si>
    <t>ACSA-FR-UC13-REQ008</t>
  </si>
  <si>
    <t>Task Management</t>
  </si>
  <si>
    <t>The system shall allow task management features for users, such as grouping applications by completion or pending status.</t>
  </si>
  <si>
    <t>ACSA-FR-UC13-REQ009</t>
  </si>
  <si>
    <t>Local Office Process Support</t>
  </si>
  <si>
    <t>The system shall support local registration office processes, including entry of forms, approval management, and identification of gaps.</t>
  </si>
  <si>
    <t>ACSA-FR-UC14-REQ001</t>
  </si>
  <si>
    <t>User Portal &amp; Appointments</t>
  </si>
  <si>
    <t>Provide Public Web Portal</t>
  </si>
  <si>
    <t>The system shall provide a public web portal for public services.</t>
  </si>
  <si>
    <t>ACSA-FR-UC14-REQ002</t>
  </si>
  <si>
    <t>Online Application Submission</t>
  </si>
  <si>
    <t>The portal shall allow users to submit registration applications online.</t>
  </si>
  <si>
    <t>ACSA-FR-UC14-REQ003</t>
  </si>
  <si>
    <t>Application Tracking</t>
  </si>
  <si>
    <t>The portal shall allow users to track the status of their applications.</t>
  </si>
  <si>
    <t>ACSA-FR-UC14-REQ004</t>
  </si>
  <si>
    <t>Online Appointment Scheduling</t>
  </si>
  <si>
    <t>The portal shall provide an online appointment scheduling system.</t>
  </si>
  <si>
    <t>ACSA-FR-UC14-REQ005</t>
  </si>
  <si>
    <t>Automated Reminders</t>
  </si>
  <si>
    <t>The system shall send automated reminders for upcoming appointments via SMS/email.</t>
  </si>
  <si>
    <t>ACSA-FR-UC14-REQ006</t>
  </si>
  <si>
    <t>Secure Account Creation</t>
  </si>
  <si>
    <t>The portal shall support secure user account creation and verification using email or SMS OTP.</t>
  </si>
  <si>
    <t>ACSA-FR-UC14-REQ007</t>
  </si>
  <si>
    <t>Document Upload</t>
  </si>
  <si>
    <t>The portal shall allow users to upload supporting documents in accepted formats and within configured size limits.</t>
  </si>
  <si>
    <t>ACSA-FR-UC14-REQ008</t>
  </si>
  <si>
    <t>Save and Resume Applications</t>
  </si>
  <si>
    <t>The portal shall allow partially completed applications to be saved and resumed.</t>
  </si>
  <si>
    <t>ACSA-FR-UC14-REQ009</t>
  </si>
  <si>
    <t>Appointment Check-in</t>
  </si>
  <si>
    <t>The system shall support appointment check-in using a QR code or reference number and update appointment status.</t>
  </si>
  <si>
    <t>ACSA-FR-UC15-REQ001</t>
  </si>
  <si>
    <t>Migration &amp; Legacy Capture</t>
  </si>
  <si>
    <t>Support Bulk Import</t>
  </si>
  <si>
    <t>The system shall support bulk import of historical data from external sources (databases, spreadsheets).</t>
  </si>
  <si>
    <t>ACSA-FR-UC15-REQ002</t>
  </si>
  <si>
    <t>Interface for Manual Entry</t>
  </si>
  <si>
    <t>The system shall provide an interface for manual entry of legacy paper records.</t>
  </si>
  <si>
    <t>ACSA-FR-UC15-REQ003</t>
  </si>
  <si>
    <t>Maintain Audit Trail for Migration</t>
  </si>
  <si>
    <t>The system shall maintain an audit trail of all migrated records, including source reference and timestamp.</t>
  </si>
  <si>
    <t>ACSA-FR-UC15-REQ004</t>
  </si>
  <si>
    <t>Flag Legacy Records</t>
  </si>
  <si>
    <t>The system shall allow legacy data to be included or excluded from statistical reports based on configuration.</t>
  </si>
  <si>
    <t>ACSA-FR-UC15-REQ005</t>
  </si>
  <si>
    <t>Validate Migrated Data</t>
  </si>
  <si>
    <t>The system shall validate migrated data against schema, mandatory-field, format, duplicate, and quality rules before final commit.</t>
  </si>
  <si>
    <t>ACSA-FR-UC15-REQ006</t>
  </si>
  <si>
    <t>Migration Quarantine and Error Reports</t>
  </si>
  <si>
    <t>The system shall quarantine records that fail migration validation and generate error and reconciliation reports.</t>
  </si>
  <si>
    <t>ACSA-FR-UC15-REQ007</t>
  </si>
  <si>
    <t>Link Scanned Legacy Images</t>
  </si>
  <si>
    <t>The system shall link scanned images or original source references to migrated legacy records.</t>
  </si>
  <si>
    <t>ACSA-FR-UC16-REQ001</t>
  </si>
  <si>
    <t>Reporting &amp; Analytics</t>
  </si>
  <si>
    <t>Provide Predefined Reports</t>
  </si>
  <si>
    <t>The system shall provide predefined statistical reports on births, deaths, marriages, and divorces.</t>
  </si>
  <si>
    <t>ACSA-FR-UC16-REQ002</t>
  </si>
  <si>
    <t>Allow Ad-hoc Reports</t>
  </si>
  <si>
    <t>The system shall allow authorized users to generate ad-hoc reports with customizable filters.</t>
  </si>
  <si>
    <t>ACSA-FR-UC16-REQ003</t>
  </si>
  <si>
    <t>Support Standard Exports</t>
  </si>
  <si>
    <t>The system shall support export of data in standard formats (CSV, SDMX) for integration with the National Statistics Office.</t>
  </si>
  <si>
    <t>ACSA-FR-UC16-REQ004</t>
  </si>
  <si>
    <t>Display KPI Dashboards</t>
  </si>
  <si>
    <t>The system shall maintain a dashboard displaying key performance indicators (KPIs) for registration coverage and timeliness.</t>
  </si>
  <si>
    <t>ACSA-FR-UC16-REQ005</t>
  </si>
  <si>
    <t>Anonymize Public Outputs</t>
  </si>
  <si>
    <t>The system shall anonymize personal data in any publicly accessible or externally shared statistical output.</t>
  </si>
  <si>
    <t>ACSA-FR-UC16-REQ006</t>
  </si>
  <si>
    <t>Separate Reporting Layer</t>
  </si>
  <si>
    <t>The system shall support a separate reporting layer, reporting database, or data warehouse to avoid degrading operational performance.</t>
  </si>
  <si>
    <t>ACSA-FR-UC16-REQ007</t>
  </si>
  <si>
    <t>Report Reproducibility</t>
  </si>
  <si>
    <t>The system shall store report parameters, query logic, scripts, or parameter sets used so that published outputs are reproducible.</t>
  </si>
  <si>
    <t>ACSA-FR-UC17-REQ001</t>
  </si>
  <si>
    <t>Interoperability, Data Sharing, Devices &amp; Peripherals</t>
  </si>
  <si>
    <t>Provide APIs for Data Exchange</t>
  </si>
  <si>
    <t>The system shall provide APIs for real-time data exchange with health facilities, police, courts, ID systems, and other authorized systems.</t>
  </si>
  <si>
    <t>ACSA-FR-UC17-REQ002</t>
  </si>
  <si>
    <t>Support Scheduled Batch Exports</t>
  </si>
  <si>
    <t>The system shall support scheduled batch exports to the National Statistics Office in SDMX format.</t>
  </si>
  <si>
    <t>ACSA-FR-UC17-REQ003</t>
  </si>
  <si>
    <t>Integrate with National ID</t>
  </si>
  <si>
    <t>The system shall integrate with the National ID system for identity verification as well as updating it.</t>
  </si>
  <si>
    <t>ACSA-FR-UC17-REQ004</t>
  </si>
  <si>
    <t>Support Document Scanners</t>
  </si>
  <si>
    <t>The system shall support document scanners for uploading supporting documents.</t>
  </si>
  <si>
    <t>ACSA-FR-UC17-REQ005</t>
  </si>
  <si>
    <t>Support Biometric Devices</t>
  </si>
  <si>
    <t>The system shall support fingerprint readers for biometric capture of applicants where required.</t>
  </si>
  <si>
    <t>ACSA-FR-UC17-REQ006</t>
  </si>
  <si>
    <t>Support Certificate Printers</t>
  </si>
  <si>
    <t>The system shall support certificate printers for issuing secure documents.</t>
  </si>
  <si>
    <t>ACSA-FR-UC17-REQ007</t>
  </si>
  <si>
    <t>Log All Data Sharing</t>
  </si>
  <si>
    <t>The system shall log all data sharing and interoperability transactions.</t>
  </si>
  <si>
    <t>ACSA-FR-UC17-REQ008</t>
  </si>
  <si>
    <t>External System Authentication</t>
  </si>
  <si>
    <t>The system shall authenticate external systems and enforce authorization before any data exchange.</t>
  </si>
  <si>
    <t>ACSA-FR-UC17-REQ009</t>
  </si>
  <si>
    <t>Data Sharing Governance</t>
  </si>
  <si>
    <t>The system shall support data-sharing agreements, purpose limitation, consent checks where required, and approval workflows for sensitive extracts.</t>
  </si>
  <si>
    <t>ACSA-FR-UC17-REQ010</t>
  </si>
  <si>
    <t>Integration Health Monitoring</t>
  </si>
  <si>
    <t>The system shall monitor integration health and retry failed transactions according to configured rules before escalation.</t>
  </si>
  <si>
    <t>ACSA-FR-UC17-REQ011</t>
  </si>
  <si>
    <t>Device Status and Error Logging</t>
  </si>
  <si>
    <t>The system shall detect connected peripherals, display device status, log device errors, and support retry or escalation.</t>
  </si>
  <si>
    <t>ACSA-FR-UC18-REQ001</t>
  </si>
  <si>
    <t>Legal Identity</t>
  </si>
  <si>
    <t>Maintain Secure Identity Registry</t>
  </si>
  <si>
    <t>The system shall maintain a secure registry of all legal identities with lifecycle status (Active, Deceased, Inactive).</t>
  </si>
  <si>
    <t>ACSA-FR-UC18-REQ002</t>
  </si>
  <si>
    <t>Provide Verification API</t>
  </si>
  <si>
    <t>The system shall provide a secure API for authorized external agencies to verify legal identity.</t>
  </si>
  <si>
    <t>ACSA-FR-UC18-REQ003</t>
  </si>
  <si>
    <t>Update Identity from Events</t>
  </si>
  <si>
    <t>The system shall update the legal identity record upon marriage, divorce, name change, or other legal amendments.</t>
  </si>
  <si>
    <t>ACSA-FR-UC18-REQ004</t>
  </si>
  <si>
    <t>Deactivate Identity on Death</t>
  </si>
  <si>
    <t>The system shall deactivate (mark as "Deceased") the legal identity record upon death registration.</t>
  </si>
  <si>
    <t>ACSA-FR-UC18-REQ005</t>
  </si>
  <si>
    <t>Support Temporary Deactivation</t>
  </si>
  <si>
    <t>The system shall support temporary deactivation of a legal identity in cases of migration or identity theft reports.</t>
  </si>
  <si>
    <t>ACSA-FR-UC18-REQ006</t>
  </si>
  <si>
    <t>Log All Identity Access</t>
  </si>
  <si>
    <t>The system shall log all access to identity data for audit purposes.</t>
  </si>
  <si>
    <t>ACSA-FR-UC18-REQ007</t>
  </si>
  <si>
    <t>Non-Reassignment of Legal Identity Identifier</t>
  </si>
  <si>
    <t>The system shall ensure that a unique legal identity identifier is never reassigned to another individual, including after death.</t>
  </si>
  <si>
    <t>ACSA-FR-UC18-REQ008</t>
  </si>
  <si>
    <t>Legal Identity Change History</t>
  </si>
  <si>
    <t>The system shall retain a complete history of all legal identity changes, including previous names, statuses, supporting events, timestamps, and approving authority.</t>
  </si>
  <si>
    <t>ACSA-FR-UC18-REQ009</t>
  </si>
  <si>
    <t>Prevent Second Active Identity</t>
  </si>
  <si>
    <t>The system shall prevent creation of a second active identity until duplicate identity alerts are resolved.</t>
  </si>
  <si>
    <t>ACSA-NFR-PERF-REQ001</t>
  </si>
  <si>
    <t>Non-functional</t>
  </si>
  <si>
    <t>Performance</t>
  </si>
  <si>
    <t>Registration Transaction Response</t>
  </si>
  <si>
    <t>The system shall process birth, death, marriage, divorce, adoption, and recognition registrations within ≤ 3 seconds under normal load.</t>
  </si>
  <si>
    <t>ACSA-NFR-PERF-REQ002</t>
  </si>
  <si>
    <t>Certificate Generation Response</t>
  </si>
  <si>
    <t>Certificate generation shall be completed between 5- 30 seconds.</t>
  </si>
  <si>
    <t>ACSA-NFR-PERF-REQ003</t>
  </si>
  <si>
    <t>Search Response</t>
  </si>
  <si>
    <t xml:space="preserve">Record search operations shall return results between 5 -30 seconds at district/national level queries. </t>
  </si>
  <si>
    <t>ACSA-NFR-PERF-REQ004</t>
  </si>
  <si>
    <t>Concurrent National Usage</t>
  </si>
  <si>
    <t>The system shall support at least ≥ XXXX concurrent users nationally.</t>
  </si>
  <si>
    <t>ACSA-NFR-PERF-REQ005</t>
  </si>
  <si>
    <t>Concurrent Regional Usage</t>
  </si>
  <si>
    <t>The system shall support at least XXXX concurrent users per region.</t>
  </si>
  <si>
    <t>ACSA-NFR-PERF-REQ006</t>
  </si>
  <si>
    <t>Concurrent District Usage</t>
  </si>
  <si>
    <t>The system shall support at least ≥ XXX concurrent users per district.</t>
  </si>
  <si>
    <t>ACSA-NFR-PERF-REQ007</t>
  </si>
  <si>
    <t>Bulk Import Throughput</t>
  </si>
  <si>
    <t>Bulk import shall support at least ≥ 1 million records per batch.</t>
  </si>
  <si>
    <t>ACSA-NFR-PERF-REQ008</t>
  </si>
  <si>
    <t>National Report Performance</t>
  </si>
  <si>
    <t>National statistical reports shall generate within ≤ 60 seconds.</t>
  </si>
  <si>
    <t>ACSA-NFR-PERF-REQ009</t>
  </si>
  <si>
    <t>Performance Monitoring</t>
  </si>
  <si>
    <t>The system must allow authorized users to monitor system availability and performance.</t>
  </si>
  <si>
    <t>ACSA-NFR-PERF-REQ010</t>
  </si>
  <si>
    <t>Scalable Architecture</t>
  </si>
  <si>
    <t>The system shall support horizontal scaling and population growth over 20+ years without requiring system redesign.</t>
  </si>
  <si>
    <t>ACSA-NFR-PERF-REQ011</t>
  </si>
  <si>
    <t>Projected Transaction Volumes</t>
  </si>
  <si>
    <t>The system technical design shall scale to support projected transaction volumes over time.</t>
  </si>
  <si>
    <t>ACSA-NFR-PERF-REQ012</t>
  </si>
  <si>
    <t>Efficient Resource Utilization</t>
  </si>
  <si>
    <t>CPU, memory, storage, and network utilization shall remain within defined thresholds during normal and peak operations.</t>
  </si>
  <si>
    <t>ACSA-NFR-SEC-REQ001</t>
  </si>
  <si>
    <t>Security</t>
  </si>
  <si>
    <t>Secure Authentication</t>
  </si>
  <si>
    <t>All users shall authenticate securely before accessing the system.</t>
  </si>
  <si>
    <t>ACSA-NFR-SEC-REQ002</t>
  </si>
  <si>
    <t>Multi-Factor Authentication</t>
  </si>
  <si>
    <t>The system shall require multi-factor authentication for administrators, privileged users, and sensitive operations.</t>
  </si>
  <si>
    <t>ACSA-NFR-SEC-REQ003</t>
  </si>
  <si>
    <t>Least Privilege Access</t>
  </si>
  <si>
    <t>The system shall enforce least-privilege access using role-based and jurisdiction-based access controls.</t>
  </si>
  <si>
    <t>ACSA-NFR-SEC-REQ004</t>
  </si>
  <si>
    <t>Session Timeout</t>
  </si>
  <si>
    <t>The system shall terminate or lock inactive sessions after a configured time and require re-authentication.</t>
  </si>
  <si>
    <t>ACSA-NFR-SEC-REQ005</t>
  </si>
  <si>
    <t>Encryption in Transit and at Rest</t>
  </si>
  <si>
    <t>The system shall enforce encryption of data at rest and in transit, including offline workstation data.</t>
  </si>
  <si>
    <t>ACSA-NFR-SEC-REQ006</t>
  </si>
  <si>
    <t>Secure Key Management</t>
  </si>
  <si>
    <t>The system shall implement secure key management, including separation of encryption keys from data and regular key rotation.</t>
  </si>
  <si>
    <t>ACSA-NFR-SEC-REQ007</t>
  </si>
  <si>
    <t>Secure Password Storage</t>
  </si>
  <si>
    <t>Passwords shall be stored using strong salted hashing and appropriate work factors; plain text password storage is prohibited.</t>
  </si>
  <si>
    <t>ACSA-NFR-SEC-REQ008</t>
  </si>
  <si>
    <t>Application Threat Protection</t>
  </si>
  <si>
    <t>The system shall protect against SQL injection, cross-site scripting, cross-site request forgery, brute force attacks, and equivalent application threats.</t>
  </si>
  <si>
    <t>ACSA-NFR-SEC-REQ009</t>
  </si>
  <si>
    <t>Tamper-Proof Audit Logs</t>
  </si>
  <si>
    <t>Audit logs shall be protected from modification or deletion, including by system administrators.</t>
  </si>
  <si>
    <t>ACSA-NFR-SEC-REQ010</t>
  </si>
  <si>
    <t>Hardening Standards</t>
  </si>
  <si>
    <t>The solution shall apply recognized hardening standards such as CIS benchmarks or equivalent for infrastructure components.</t>
  </si>
  <si>
    <t>ACSA-NFR-SEC-REQ011</t>
  </si>
  <si>
    <t>Secure API Design</t>
  </si>
  <si>
    <t>APIs shall follow security best practices, including authentication, authorization, encryption, audit logging, quotas and throttling.</t>
  </si>
  <si>
    <t>ACSA-NFR-SEC-REQ012</t>
  </si>
  <si>
    <t>Supply Chain Security</t>
  </si>
  <si>
    <t>The vendor shall demonstrate controls to manage hardware, software, open-source, and third-party dependency security risks across the product lifecycle.</t>
  </si>
  <si>
    <t>ACSA-NFR-SEC-REQ013</t>
  </si>
  <si>
    <t>Incident Monitoring</t>
  </si>
  <si>
    <t>The system shall generate real-time alerts for failures, suspicious activities, and critical security events.</t>
  </si>
  <si>
    <t>ACSA-NFR-SEC-REQ014</t>
  </si>
  <si>
    <t>Privacy</t>
  </si>
  <si>
    <t>Consent Management</t>
  </si>
  <si>
    <t>Individuals consent shall be recorded and enforced for data sharing with external agencies, including scope, purpose, duration, and revocation.</t>
  </si>
  <si>
    <t>ACSA-NFR-SEC-REQ015</t>
  </si>
  <si>
    <t>Data Minimization and Masking</t>
  </si>
  <si>
    <t>The system shall apply data minimization, masking of sensitive information where appropriate, and anonymization of statistical exports.</t>
  </si>
  <si>
    <t>ACSA-NFR-UX-REQ001</t>
  </si>
  <si>
    <t>Usability &amp; Accessibility</t>
  </si>
  <si>
    <t>Intuitive Interface</t>
  </si>
  <si>
    <t>The system interface shall be easy and intuitive for users with different levels of computer-use experience.</t>
  </si>
  <si>
    <t>ACSA-NFR-UX-REQ002</t>
  </si>
  <si>
    <t>Consistent Navigation</t>
  </si>
  <si>
    <t>The interface shall provide consistent navigation, headings, menus, labels and controls across modules.</t>
  </si>
  <si>
    <t>ACSA-NFR-UX-REQ003</t>
  </si>
  <si>
    <t>Contextual Help</t>
  </si>
  <si>
    <t>The system shall provide contextual help, tooltips, examples, and clear task-oriented guidance.</t>
  </si>
  <si>
    <t>ACSA-NFR-UX-REQ004</t>
  </si>
  <si>
    <t>Clear Error Messages</t>
  </si>
  <si>
    <t>Error and warning messages shall be informative, user-friendly, and identify the issue as completely as possible.</t>
  </si>
  <si>
    <t>ACSA-NFR-UX-REQ005</t>
  </si>
  <si>
    <t>Accessibility Standards</t>
  </si>
  <si>
    <t>The system shall conform to applicable accessibility standards, including screen-reader support, keyboard-only operation, sufficient color contrast, and adjustable font size.</t>
  </si>
  <si>
    <t>ACSA-NFR-UX-REQ006</t>
  </si>
  <si>
    <t>Localization</t>
  </si>
  <si>
    <t>Multi-Language Support</t>
  </si>
  <si>
    <t>The system shall provide multilingual support and enable easy language switching where applicable.</t>
  </si>
  <si>
    <t>ACSA-NFR-UX-REQ007</t>
  </si>
  <si>
    <t>Local Formats and Structures</t>
  </si>
  <si>
    <t>The system shall support local languages, local calendar systems where applicable, local naming conventions, and local administrative structures.</t>
  </si>
  <si>
    <t>ACSA-NFR-UX-REQ008</t>
  </si>
  <si>
    <t>Responsive Interface</t>
  </si>
  <si>
    <t>The user interface shall adapt to desktop, tablet, and mobile screen sizes.</t>
  </si>
  <si>
    <t>ACSA-NFR-UX-REQ009</t>
  </si>
  <si>
    <t>User Learning Support</t>
  </si>
  <si>
    <t>The system shall support product-based training and learning materials to reduce reliance on in-person training.</t>
  </si>
  <si>
    <t>ACSA-NFR-REL-REQ001</t>
  </si>
  <si>
    <t>Reliability &amp; Availability</t>
  </si>
  <si>
    <t>Annual Availability</t>
  </si>
  <si>
    <t>The system availability shall be ≥ 99.5% uptime annually, unless a stricter national service level applies.</t>
  </si>
  <si>
    <t>ACSA-NFR-REL-REQ002</t>
  </si>
  <si>
    <t>Critical Service Availability</t>
  </si>
  <si>
    <t>Critical services including registration, certificate issuance, and verification shall be available 24/7 where required by the service model.</t>
  </si>
  <si>
    <t>ACSA-NFR-REL-REQ003</t>
  </si>
  <si>
    <t>Maximum Downtime</t>
  </si>
  <si>
    <t>The system must not exceed 12 hours downtime per year.</t>
  </si>
  <si>
    <t>ACSA-NFR-REL-REQ004</t>
  </si>
  <si>
    <t>Online and Offline Operation</t>
  </si>
  <si>
    <t>The system must allow users to work online and offline, with synchronization when connectivity is restored.</t>
  </si>
  <si>
    <t>ACSA-NFR-REL-REQ005</t>
  </si>
  <si>
    <t>Automatic Failover</t>
  </si>
  <si>
    <t>The system shall support automatic failover within ≤ 5 minutes.</t>
  </si>
  <si>
    <t>ACSA-NFR-REL-REQ006</t>
  </si>
  <si>
    <t>Recovery Time Objective</t>
  </si>
  <si>
    <t>The system shall recover from failures within RTO ≤ 4 hours.</t>
  </si>
  <si>
    <t>ACSA-NFR-REL-REQ007</t>
  </si>
  <si>
    <t>Recovery Point Objective</t>
  </si>
  <si>
    <t>The system shall maintain RPO ≤ 24 hours.</t>
  </si>
  <si>
    <t>ACSA-NFR-REL-REQ008</t>
  </si>
  <si>
    <t>Transaction Integrity</t>
  </si>
  <si>
    <t>The system shall ensure no data loss during transactions through ACID-compliant database transactions and automatic retry for failed operations.</t>
  </si>
  <si>
    <t>ACSA-NFR-REL-REQ009</t>
  </si>
  <si>
    <t>Backup and Restore</t>
  </si>
  <si>
    <t>The system shall provide automated backup and restore functionality, including regular full and incremental backups.</t>
  </si>
  <si>
    <t>ACSA-NFR-REL-REQ010</t>
  </si>
  <si>
    <t>Offsite Disaster Recovery</t>
  </si>
  <si>
    <t>The system shall maintain offsite backup storage and a disaster recovery site in a separate geographic location.</t>
  </si>
  <si>
    <t>ACSA-NFR-REL-REQ011</t>
  </si>
  <si>
    <t>Backup Testing</t>
  </si>
  <si>
    <t>Backups and disaster recovery procedures shall be tested regularly and documented.</t>
  </si>
  <si>
    <t>ACSA-NFR-SAFE-REQ001</t>
  </si>
  <si>
    <t>Safety</t>
  </si>
  <si>
    <t>Read-Only Final Records</t>
  </si>
  <si>
    <t>Once finalized, civil registration records shall become read-only and may only be changed through authorized amendment processes with full audit trail.</t>
  </si>
  <si>
    <t>ACSA-NFR-SAFE-REQ002</t>
  </si>
  <si>
    <t>Supervisor Approval for High-Risk Actions</t>
  </si>
  <si>
    <t>High-risk actions such as merges, reversals, certificate voiding, and access to sensitive events shall require supervisor approval or enhanced controls.</t>
  </si>
  <si>
    <t>ACSA-NFR-SAFE-REQ003</t>
  </si>
  <si>
    <t>Protection of Minors and Sensitive Events</t>
  </si>
  <si>
    <t>Identity profiles for minors, foundling records, stillbirth/neonatal death events, and other sensitive events shall have additional privacy, access, and workflow protections.</t>
  </si>
  <si>
    <t>ACSA-NFR-SAFE-REQ004</t>
  </si>
  <si>
    <t>Data Integrity Validation</t>
  </si>
  <si>
    <t>All data entered shall be validated against defined business rules and referential integrity constraints.</t>
  </si>
  <si>
    <t>ACSA-NFR-SAFE-REQ005</t>
  </si>
  <si>
    <t>Duplicate Prevention Before Finalization</t>
  </si>
  <si>
    <t>Duplicate records shall be detected and prevented before finalization.</t>
  </si>
  <si>
    <t>ACSA-NFR-SAFE-REQ006</t>
  </si>
  <si>
    <t>Chain of Custody</t>
  </si>
  <si>
    <t>The system shall maintain chain of custody for physical documents, certificates, and critical certificate stock movements.</t>
  </si>
  <si>
    <t>ACSA-NFR-SAFE-REQ007</t>
  </si>
  <si>
    <t>Error Reversal Controls</t>
  </si>
  <si>
    <t>Erroneous actions shall be reversible only where legally permissible and with full audit trail and approval controls.</t>
  </si>
  <si>
    <t>ACSA-NFR-COMP-REQ001</t>
  </si>
  <si>
    <t>Compliance &amp; Legal</t>
  </si>
  <si>
    <t>National Legal Compliance</t>
  </si>
  <si>
    <t>The system shall comply with national civil registration laws, data protection and privacy laws, national archives laws, and statistical reporting requirements.</t>
  </si>
  <si>
    <t>ACSA-NFR-COMP-REQ002</t>
  </si>
  <si>
    <t>Legal Validity of Electronic Records</t>
  </si>
  <si>
    <t>The system shall support legal validity and admissibility of electronic records, digital signatures, digital certificates, certified true copies, and audit trails where permitted by law.</t>
  </si>
  <si>
    <t>ACSA-NFR-COMP-REQ003</t>
  </si>
  <si>
    <t>International Standards Alignment</t>
  </si>
  <si>
    <t>The system shall support alignment with UN Legal Identity Agenda, SDG Target 16.9, WHO standards for live birth/stillbirth/cause of death, and relevant interoperability standards such as HL7 FHIR where applicable.</t>
  </si>
  <si>
    <t>ACSA-NFR-COMP-REQ004</t>
  </si>
  <si>
    <t>Records Retention</t>
  </si>
  <si>
    <t>Records shall be retained according to legal and archival requirements.</t>
  </si>
  <si>
    <t>ACSA-NFR-COMP-REQ005</t>
  </si>
  <si>
    <t>Statutory Deadlines</t>
  </si>
  <si>
    <t>Registration deadlines and late/delayed registration rules shall be enforceable through configured business rules.</t>
  </si>
  <si>
    <t>ACSA-NFR-COMP-REQ006</t>
  </si>
  <si>
    <t>Audit and Oversight Access</t>
  </si>
  <si>
    <t>Authorized auditors shall have read-only access to records and audit logs, with all auditor actions logged.</t>
  </si>
  <si>
    <t>ACSA-NFR-COMP-REQ007</t>
  </si>
  <si>
    <t>Regulatory Reporting</t>
  </si>
  <si>
    <t>The system shall generate regulatory reports in prescribed formats and frequencies.</t>
  </si>
  <si>
    <t>ACSA-NFR-COMP-REQ008</t>
  </si>
  <si>
    <t>Citizen Access Rights</t>
  </si>
  <si>
    <t>Citizens shall be able to access their own information as provided by law and subject to identity verification.</t>
  </si>
  <si>
    <t>ACSA-NFR-QUAL-REQ001</t>
  </si>
  <si>
    <t>Quality / Maintainability</t>
  </si>
  <si>
    <t>Modular Architecture</t>
  </si>
  <si>
    <t>The system shall follow modular architecture with clear separation of concerns.</t>
  </si>
  <si>
    <t>ACSA-NFR-QUAL-REQ002</t>
  </si>
  <si>
    <t>Externalized Configuration</t>
  </si>
  <si>
    <t>Business rules and environment-specific settings shall be externalized and configurable without code changes where feasible.</t>
  </si>
  <si>
    <t>ACSA-NFR-QUAL-REQ003</t>
  </si>
  <si>
    <t>Technical Documentation</t>
  </si>
  <si>
    <t>Comprehensive technical documentation shall be maintained and updated with system changes.</t>
  </si>
  <si>
    <t>ACSA-NFR-QUAL-REQ004</t>
  </si>
  <si>
    <t>Version Control</t>
  </si>
  <si>
    <t>All code, configuration, and technical documentation shall be maintained in version control.</t>
  </si>
  <si>
    <t>ACSA-NFR-QUAL-REQ005</t>
  </si>
  <si>
    <t>Quality / Testability</t>
  </si>
  <si>
    <t>Automated Testing</t>
  </si>
  <si>
    <t>The system shall support automated unit, integration, performance, and non-functional testing, with test coverage metrics tracked against defined targets.</t>
  </si>
  <si>
    <t>ACSA-NFR-QUAL-REQ006</t>
  </si>
  <si>
    <t>Quality / Deployability</t>
  </si>
  <si>
    <t>CI/CD and Deployment Automation</t>
  </si>
  <si>
    <t>The system shall support automated CI/CD pipelines, environment-consistent deployment, health checks, rollback capability, and zero- or minimal-downtime deployment.</t>
  </si>
  <si>
    <t>ACSA-NFR-QUAL-REQ007</t>
  </si>
  <si>
    <t>Quality / Portability</t>
  </si>
  <si>
    <t>Deployment Portability</t>
  </si>
  <si>
    <t>The system shall support on-premises, cloud, and hybrid deployment, including containerization where appropriate and avoidance of vendor lock-in.</t>
  </si>
  <si>
    <t>ACSA-NFR-QUAL-REQ008</t>
  </si>
  <si>
    <t>Device and Browser Support</t>
  </si>
  <si>
    <t>The system shall support major browsers and desktop, laptop, tablet, and smartphone devices.</t>
  </si>
  <si>
    <t>ACSA-NFR-QUAL-REQ009</t>
  </si>
  <si>
    <t>Quality / Interoperability</t>
  </si>
  <si>
    <t>Open Standards</t>
  </si>
  <si>
    <t>The system shall use open standards and standard data exchange formats, including APIs, JSON, XML, SDMX and other agreed formats.</t>
  </si>
  <si>
    <t>ACSA-NFR-QUAL-REQ010</t>
  </si>
  <si>
    <t>Semantic Interoperability</t>
  </si>
  <si>
    <t>The system shall exchange data with other systems while ensuring semantic interoperability through standard code lists, metadata and mapping rules.</t>
  </si>
  <si>
    <t>ACSA-NFR-QUAL-REQ011</t>
  </si>
  <si>
    <t>Integration Health</t>
  </si>
  <si>
    <t>Integration health shall be monitored with alerts, retry logic and escalation for persistent failures.</t>
  </si>
  <si>
    <t>ACSA-NFR-QUAL-REQ012</t>
  </si>
  <si>
    <t>Quality / Reusability</t>
  </si>
  <si>
    <t>Reusable Shared Services</t>
  </si>
  <si>
    <t>Common functionality shall be implemented as shared services and reusable components, with business rules documented centrally for reuse across modules.</t>
  </si>
  <si>
    <t>ACSA-NFR-QUAL-REQ013</t>
  </si>
  <si>
    <t>Quality / Error Handling</t>
  </si>
  <si>
    <t>Comprehensive Error Handling</t>
  </si>
  <si>
    <t>All written software shall be subject to a comprehensive error-handling regime; errors and warnings shall be written to system logs and critical errors escalated.</t>
  </si>
  <si>
    <t>ACSA-NFR-QUAL-REQ014</t>
  </si>
  <si>
    <t>Quality / Archiving</t>
  </si>
  <si>
    <t>Permanent Archiving</t>
  </si>
  <si>
    <t>The system shall archive all documents, including legacy birth and death records, according to retention and archival requirements.</t>
  </si>
  <si>
    <t>ACSA-NFR-QUAL-REQ015</t>
  </si>
  <si>
    <t>Quality / Monitoring &amp; Observability</t>
  </si>
  <si>
    <t>Monitoring Dashboard</t>
  </si>
  <si>
    <t>The system shall provide real-time monitoring dashboards, performance monitoring, usage analytics, and alerts for failures or suspicious activities.</t>
  </si>
  <si>
    <t>ACSA-NFR-QUAL-REQ016</t>
  </si>
  <si>
    <t>Quality / Operations</t>
  </si>
  <si>
    <t>Incident and DR Testing</t>
  </si>
  <si>
    <t>The system shall support documented incident response procedures, regular vulnerability scans, penetration testing, and annual testing of incident response and disaster recovery procedures.</t>
  </si>
  <si>
    <t>Metric</t>
  </si>
  <si>
    <t>Value</t>
  </si>
  <si>
    <t>Total requirements</t>
  </si>
  <si>
    <t>Functional requirements</t>
  </si>
  <si>
    <t>Non-functional requirements</t>
  </si>
  <si>
    <t>Table 1 - Level of Compliance in ACSA</t>
  </si>
  <si>
    <t>Table 2 - Weights</t>
  </si>
  <si>
    <t>Table 3 - Online/Offline</t>
  </si>
  <si>
    <t>Table 4 - Dependency on Other Systems</t>
  </si>
  <si>
    <t>Fully Meets</t>
  </si>
  <si>
    <t>Online</t>
  </si>
  <si>
    <t>Yes</t>
  </si>
  <si>
    <t>Meets through Configuration</t>
  </si>
  <si>
    <t>Offline</t>
  </si>
  <si>
    <t>No</t>
  </si>
  <si>
    <t>Customization Required</t>
  </si>
  <si>
    <t>Both</t>
  </si>
  <si>
    <t>Not Available</t>
  </si>
  <si>
    <t>Table 1 - Weighted Scores</t>
  </si>
  <si>
    <t>Scope</t>
  </si>
  <si>
    <t>Total</t>
  </si>
  <si>
    <t>Achievement %</t>
  </si>
  <si>
    <t>Total (Functional + Non-functional)</t>
  </si>
  <si>
    <t>Max Possible Score</t>
  </si>
  <si>
    <t>Achieved Weighted Score</t>
  </si>
  <si>
    <t>Table 2 - Level of Compliance by Total, Functional and Non-functional</t>
  </si>
  <si>
    <t>No Response</t>
  </si>
  <si>
    <t>Response Rate %</t>
  </si>
  <si>
    <t>Count</t>
  </si>
  <si>
    <t>%</t>
  </si>
  <si>
    <t>Table 3 - Online/Offline vs Level of Compliance</t>
  </si>
  <si>
    <t>Table 4 - Dependent on Other Systems vs Level of Compliance</t>
  </si>
  <si>
    <t>ACSA Core Requirements Screening Questionnaire</t>
  </si>
  <si>
    <t>System Details</t>
  </si>
  <si>
    <t>Contact Person's Name</t>
  </si>
  <si>
    <t xml:space="preserve">Contact Person's Email </t>
  </si>
  <si>
    <t>Contact Person's Phone Number</t>
  </si>
  <si>
    <t>Name of the software/country</t>
  </si>
  <si>
    <t>Screening Questionnaire</t>
  </si>
  <si>
    <t>PLEASE DO NOT TOUCH ENTRIES IN THE BELOW COLUMNS</t>
  </si>
  <si>
    <t>ENTER YOUR RESPONSES IN BELOW COLUMNS</t>
  </si>
  <si>
    <t>SCORES</t>
  </si>
  <si>
    <t>Fully supported standard functionality. Functional and technical requirements are met directly by the proposed CRVS solution without any additional configuration, customization, or development.</t>
  </si>
  <si>
    <t>Fully supported through configuration. Requirements are not met directly in the standard setup but can be achieved using built-in configuration tools, parameters, or minor adjustments. May require light to moderate technical effort, with limited or potential additional costs.</t>
  </si>
  <si>
    <t>Requirements cannot be met through standard functionality or configuration. Additional development by a specialized programmer or technical consultant is required. The proposer should provide estimated effort (man-hours) and/or hourly rates. May involve integration with third-party systems.</t>
  </si>
  <si>
    <t>The requirement is not supported and is not planned for future development. It cannot be met through configuration or customization without relying on external or unavailable third-party solutions.</t>
  </si>
  <si>
    <t>This assessment is designed to help countries and solution providers objectively evaluate the extent to which an existing or proposed CRVS, Legal Identity, or related digital solution meets the ACSA requirements catalogue. The assessment should be evidence-based and completed collaboratively by functional, technical, and implementation teams. Responses should reflect the current capabilities of the solution, rather than planned future functionality, unless specifically stated.</t>
  </si>
  <si>
    <t>How to Complete the Assessment</t>
  </si>
  <si>
    <t>6. Do not leave fields blank unless information is genuinely unavailable. If uncertain, record assumptions and provide explanatory notes.</t>
  </si>
  <si>
    <t>7. Review the automatically generated scores and analytics to verify that responses accurately reflect the solution's capabilities.</t>
  </si>
  <si>
    <t>8. Countries should validate submissions with relevant stakeholders, while solution providers should ensure responses are reviewed by both functional and technical experts before final submission.</t>
  </si>
  <si>
    <t>The objective is not merely to achieve a high score, but to identify strengths, gaps, customization needs, interoperability dependencies, and areas for future investment and improvement.</t>
  </si>
  <si>
    <t>Instructions for Completing the ACSA Functional and Non-Functional Requirements Assessment - Testing Phase</t>
  </si>
  <si>
    <r>
      <t>1. Review each requirement carefully</t>
    </r>
    <r>
      <rPr>
        <sz val="11"/>
        <color theme="1"/>
        <rFont val="Segoe UI"/>
        <family val="2"/>
      </rPr>
      <t xml:space="preserve"> and assess the solution against the stated requirement.</t>
    </r>
  </si>
  <si>
    <r>
      <t>2. Select the appropriate Level of Compliance</t>
    </r>
    <r>
      <rPr>
        <sz val="11"/>
        <color theme="1"/>
        <rFont val="Segoe UI"/>
        <family val="2"/>
      </rPr>
      <t>:</t>
    </r>
  </si>
  <si>
    <r>
      <t>Fully Meets</t>
    </r>
    <r>
      <rPr>
        <sz val="11"/>
        <color theme="1"/>
        <rFont val="Segoe UI"/>
        <family val="2"/>
      </rPr>
      <t xml:space="preserve"> – The requirement is available and supported out of the box.</t>
    </r>
  </si>
  <si>
    <r>
      <t>Meets through Configuration</t>
    </r>
    <r>
      <rPr>
        <sz val="11"/>
        <color theme="1"/>
        <rFont val="Segoe UI"/>
        <family val="2"/>
      </rPr>
      <t xml:space="preserve"> – The requirement can be enabled through configuration without software development.</t>
    </r>
  </si>
  <si>
    <r>
      <t>Customization Required</t>
    </r>
    <r>
      <rPr>
        <sz val="11"/>
        <color theme="1"/>
        <rFont val="Segoe UI"/>
        <family val="2"/>
      </rPr>
      <t xml:space="preserve"> – Additional development or significant configuration is required.</t>
    </r>
  </si>
  <si>
    <r>
      <t>Not Available</t>
    </r>
    <r>
      <rPr>
        <sz val="11"/>
        <color theme="1"/>
        <rFont val="Segoe UI"/>
        <family val="2"/>
      </rPr>
      <t xml:space="preserve"> – The requirement is not supported.</t>
    </r>
  </si>
  <si>
    <r>
      <t>3. Indicate the operating mode</t>
    </r>
    <r>
      <rPr>
        <sz val="11"/>
        <color theme="1"/>
        <rFont val="Segoe UI"/>
        <family val="2"/>
      </rPr>
      <t>:</t>
    </r>
  </si>
  <si>
    <r>
      <t>4. Identify whether the requirement depends on another system</t>
    </r>
    <r>
      <rPr>
        <sz val="11"/>
        <color theme="1"/>
        <rFont val="Segoe UI"/>
        <family val="2"/>
      </rPr>
      <t>:</t>
    </r>
  </si>
  <si>
    <r>
      <t>Yes</t>
    </r>
    <r>
      <rPr>
        <sz val="11"/>
        <color theme="1"/>
        <rFont val="Segoe UI"/>
        <family val="2"/>
      </rPr>
      <t xml:space="preserve"> or </t>
    </r>
    <r>
      <rPr>
        <b/>
        <sz val="11"/>
        <color theme="1"/>
        <rFont val="Segoe UI"/>
        <family val="2"/>
      </rPr>
      <t>No</t>
    </r>
  </si>
  <si>
    <r>
      <t xml:space="preserve">If </t>
    </r>
    <r>
      <rPr>
        <b/>
        <sz val="11"/>
        <color theme="1"/>
        <rFont val="Segoe UI"/>
        <family val="2"/>
      </rPr>
      <t>Yes</t>
    </r>
    <r>
      <rPr>
        <sz val="11"/>
        <color theme="1"/>
        <rFont val="Segoe UI"/>
        <family val="2"/>
      </rPr>
      <t>, specify the dependent system(s) (e.g., National ID, Health Information System, Payment Gateway, SMS Gateway).</t>
    </r>
  </si>
  <si>
    <r>
      <t>5. Provide evidence wherever possible</t>
    </r>
    <r>
      <rPr>
        <sz val="11"/>
        <color theme="1"/>
        <rFont val="Segoe UI"/>
        <family val="2"/>
      </rPr>
      <t>, such as screenshots, system documentation, demonstrations, configuration guides, API specifications, or references to existing deployments.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</si>
</sst>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scheme val="minor"/>
    </font>
    <font>
      <sz val="11"/>
      <color theme="1"/>
      <name val="Calibri"/>
      <family val="2"/>
      <scheme val="minor"/>
    </font>
    <font>
      <b/>
      <sz val="11"/>
      <color rgb="FFFFFFFF"/>
      <name val="Calibri"/>
      <family val="2"/>
    </font>
    <font>
      <sz val="11"/>
      <color theme="1"/>
      <name val="Calibri"/>
      <family val="2"/>
    </font>
    <font>
      <sz val="11"/>
      <color rgb="FF000000"/>
      <name val="Calibri"/>
      <family val="2"/>
    </font>
    <font>
      <sz val="11"/>
      <color theme="1"/>
      <name val="Calibri"/>
      <family val="2"/>
      <scheme val="minor"/>
    </font>
    <font>
      <sz val="11"/>
      <name val="Calibri"/>
      <family val="2"/>
    </font>
    <font>
      <b/>
      <sz val="11"/>
      <name val="Calibri"/>
      <family val="2"/>
    </font>
    <font>
      <b/>
      <sz val="11"/>
      <color rgb="FFFFFFFF"/>
      <name val="Calibri"/>
    </font>
    <font>
      <b/>
      <sz val="11"/>
      <name val="Calibri"/>
    </font>
    <font>
      <sz val="10"/>
      <name val="Calibri"/>
    </font>
    <font>
      <b/>
      <sz val="24"/>
      <color rgb="FFFFFFFF"/>
      <name val="Century"/>
      <family val="1"/>
    </font>
    <font>
      <b/>
      <sz val="9"/>
      <color rgb="FFFFFFFF"/>
      <name val="Century"/>
      <family val="1"/>
    </font>
    <font>
      <b/>
      <sz val="9"/>
      <color theme="1"/>
      <name val="Century"/>
      <family val="1"/>
    </font>
    <font>
      <b/>
      <sz val="9"/>
      <color theme="0"/>
      <name val="Century"/>
      <family val="1"/>
    </font>
    <font>
      <sz val="10"/>
      <color theme="1"/>
      <name val="Century"/>
      <family val="1"/>
    </font>
    <font>
      <sz val="10"/>
      <color rgb="FF000000"/>
      <name val="Century"/>
      <family val="1"/>
    </font>
    <font>
      <b/>
      <sz val="18"/>
      <color rgb="FFFFFFFF"/>
      <name val="Century"/>
      <family val="1"/>
    </font>
    <font>
      <b/>
      <u/>
      <sz val="18"/>
      <color rgb="FFFFFFFF"/>
      <name val="Century"/>
      <family val="1"/>
    </font>
    <font>
      <b/>
      <sz val="11"/>
      <color rgb="FFFFFFFF"/>
      <name val="Century"/>
      <family val="1"/>
    </font>
    <font>
      <i/>
      <sz val="11"/>
      <color rgb="FF434343"/>
      <name val="Century"/>
      <family val="1"/>
    </font>
    <font>
      <b/>
      <sz val="11"/>
      <color theme="1"/>
      <name val="Century"/>
      <family val="1"/>
    </font>
    <font>
      <sz val="11"/>
      <color theme="1"/>
      <name val="Century"/>
      <family val="1"/>
    </font>
    <font>
      <b/>
      <sz val="15"/>
      <color rgb="FFFF0000"/>
      <name val="Calibri"/>
      <family val="2"/>
      <scheme val="minor"/>
    </font>
    <font>
      <b/>
      <sz val="15"/>
      <color rgb="FF00B050"/>
      <name val="Calibri"/>
      <family val="2"/>
      <scheme val="minor"/>
    </font>
    <font>
      <b/>
      <sz val="15"/>
      <color rgb="FF00B0F0"/>
      <name val="Calibri"/>
      <family val="2"/>
      <scheme val="minor"/>
    </font>
    <font>
      <sz val="9"/>
      <color rgb="FF000000"/>
      <name val="Century"/>
      <family val="1"/>
    </font>
    <font>
      <b/>
      <sz val="13.5"/>
      <color theme="1"/>
      <name val="Segoe UI"/>
      <family val="2"/>
    </font>
    <font>
      <b/>
      <sz val="12"/>
      <color theme="1"/>
      <name val="Segoe UI"/>
      <family val="2"/>
    </font>
    <font>
      <sz val="11"/>
      <color theme="1"/>
      <name val="Segoe UI"/>
      <family val="2"/>
    </font>
    <font>
      <b/>
      <sz val="11"/>
      <color theme="1"/>
      <name val="Segoe UI"/>
      <family val="2"/>
    </font>
  </fonts>
  <fills count="8">
    <fill>
      <patternFill patternType="none"/>
    </fill>
    <fill>
      <patternFill patternType="gray125"/>
    </fill>
    <fill>
      <patternFill patternType="solid">
        <fgColor rgb="FF1F4E79"/>
        <bgColor rgb="FF1F4E79"/>
      </patternFill>
    </fill>
    <fill>
      <patternFill patternType="solid">
        <fgColor rgb="FF1F4E79"/>
      </patternFill>
    </fill>
    <fill>
      <patternFill patternType="solid">
        <fgColor rgb="FFD9EAF7"/>
      </patternFill>
    </fill>
    <fill>
      <patternFill patternType="solid">
        <fgColor rgb="FFF2F2F2"/>
      </patternFill>
    </fill>
    <fill>
      <patternFill patternType="solid">
        <fgColor rgb="FF0B5394"/>
        <bgColor rgb="FF0B5394"/>
      </patternFill>
    </fill>
    <fill>
      <patternFill patternType="solid">
        <fgColor theme="0"/>
        <bgColor theme="0"/>
      </patternFill>
    </fill>
  </fills>
  <borders count="9">
    <border>
      <left/>
      <right/>
      <top/>
      <bottom/>
      <diagonal/>
    </border>
    <border>
      <left style="thin">
        <color rgb="FFD9E2F3"/>
      </left>
      <right style="thin">
        <color rgb="FFD9E2F3"/>
      </right>
      <top style="thin">
        <color rgb="FFD9E2F3"/>
      </top>
      <bottom style="thin">
        <color rgb="FFD9E2F3"/>
      </bottom>
      <diagonal/>
    </border>
    <border>
      <left style="thin">
        <color rgb="FFD9E1F2"/>
      </left>
      <right style="thin">
        <color rgb="FFD9E1F2"/>
      </right>
      <top style="thin">
        <color rgb="FFD9E1F2"/>
      </top>
      <bottom style="thin">
        <color rgb="FFD9E1F2"/>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4A86E8"/>
      </left>
      <right style="thin">
        <color rgb="FF4A86E8"/>
      </right>
      <top style="thin">
        <color rgb="FF4A86E8"/>
      </top>
      <bottom style="thin">
        <color rgb="FF4A86E8"/>
      </bottom>
      <diagonal/>
    </border>
    <border>
      <left/>
      <right/>
      <top/>
      <bottom style="thin">
        <color rgb="FFD9E2F3"/>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2" fillId="2" borderId="1" xfId="0" applyFont="1" applyFill="1" applyBorder="1" applyAlignment="1">
      <alignment vertical="top" wrapText="1"/>
    </xf>
    <xf numFmtId="0" fontId="3" fillId="0" borderId="1" xfId="0" applyFont="1" applyBorder="1" applyAlignment="1">
      <alignment vertical="top" wrapText="1"/>
    </xf>
    <xf numFmtId="0" fontId="9" fillId="4" borderId="3" xfId="0" applyFont="1" applyFill="1" applyBorder="1" applyAlignment="1">
      <alignment horizontal="left" vertical="center" wrapText="1"/>
    </xf>
    <xf numFmtId="0" fontId="9" fillId="4" borderId="3" xfId="0" applyFont="1" applyFill="1" applyBorder="1" applyAlignment="1">
      <alignment horizontal="center" vertical="center" wrapText="1"/>
    </xf>
    <xf numFmtId="0" fontId="10" fillId="0" borderId="3" xfId="0" applyFont="1" applyBorder="1" applyAlignment="1">
      <alignment horizontal="left" vertical="center" wrapText="1"/>
    </xf>
    <xf numFmtId="0" fontId="9" fillId="5" borderId="3" xfId="0" applyFont="1" applyFill="1" applyBorder="1" applyAlignment="1">
      <alignment horizontal="center" vertical="center" wrapText="1"/>
    </xf>
    <xf numFmtId="164" fontId="10" fillId="0" borderId="3" xfId="0" applyNumberFormat="1" applyFont="1" applyBorder="1" applyAlignment="1">
      <alignment horizontal="center" vertical="center" wrapText="1"/>
    </xf>
    <xf numFmtId="0" fontId="10" fillId="0" borderId="3" xfId="0" applyFont="1" applyBorder="1" applyAlignment="1">
      <alignment horizontal="center" vertical="center" wrapText="1"/>
    </xf>
    <xf numFmtId="165" fontId="10" fillId="0" borderId="3" xfId="0" applyNumberFormat="1" applyFont="1" applyBorder="1" applyAlignment="1">
      <alignment horizontal="center" vertical="center" wrapText="1"/>
    </xf>
    <xf numFmtId="0" fontId="7" fillId="4" borderId="3" xfId="0" applyFont="1" applyFill="1" applyBorder="1" applyAlignment="1">
      <alignment horizontal="center"/>
    </xf>
    <xf numFmtId="0" fontId="0" fillId="0" borderId="3" xfId="0" applyBorder="1" applyAlignment="1">
      <alignment vertical="center"/>
    </xf>
    <xf numFmtId="1" fontId="0" fillId="0" borderId="3" xfId="0" applyNumberFormat="1" applyBorder="1" applyAlignment="1">
      <alignment vertical="center"/>
    </xf>
    <xf numFmtId="164" fontId="0" fillId="0" borderId="3" xfId="0" applyNumberFormat="1" applyBorder="1" applyAlignment="1">
      <alignment vertical="center"/>
    </xf>
    <xf numFmtId="0" fontId="11" fillId="6" borderId="0" xfId="0" applyFont="1" applyFill="1" applyAlignment="1" applyProtection="1">
      <alignment vertical="top"/>
      <protection locked="0"/>
    </xf>
    <xf numFmtId="0" fontId="12" fillId="6" borderId="0" xfId="0" applyFont="1" applyFill="1" applyAlignment="1" applyProtection="1">
      <alignment vertical="top"/>
      <protection locked="0"/>
    </xf>
    <xf numFmtId="0" fontId="12" fillId="6" borderId="0" xfId="0" applyFont="1" applyFill="1" applyAlignment="1" applyProtection="1">
      <alignment vertical="top" wrapText="1"/>
      <protection locked="0"/>
    </xf>
    <xf numFmtId="0" fontId="13" fillId="6" borderId="0" xfId="0" applyFont="1" applyFill="1" applyAlignment="1" applyProtection="1">
      <alignment horizontal="center" vertical="top" wrapText="1"/>
      <protection locked="0"/>
    </xf>
    <xf numFmtId="0" fontId="14" fillId="6" borderId="0" xfId="0" applyFont="1" applyFill="1" applyAlignment="1" applyProtection="1">
      <alignment horizontal="center" vertical="top" wrapText="1"/>
      <protection locked="0"/>
    </xf>
    <xf numFmtId="0" fontId="15" fillId="0" borderId="0" xfId="0" applyFont="1" applyAlignment="1" applyProtection="1">
      <alignment vertical="top"/>
      <protection locked="0"/>
    </xf>
    <xf numFmtId="0" fontId="16" fillId="0" borderId="0" xfId="0" applyFont="1" applyProtection="1">
      <protection locked="0"/>
    </xf>
    <xf numFmtId="0" fontId="17" fillId="6" borderId="0" xfId="0" applyFont="1" applyFill="1" applyAlignment="1" applyProtection="1">
      <alignment vertical="top"/>
      <protection locked="0"/>
    </xf>
    <xf numFmtId="0" fontId="18" fillId="6" borderId="0" xfId="0" applyFont="1" applyFill="1" applyAlignment="1" applyProtection="1">
      <alignment vertical="top"/>
      <protection locked="0"/>
    </xf>
    <xf numFmtId="0" fontId="19" fillId="6" borderId="0" xfId="0" applyFont="1" applyFill="1" applyAlignment="1" applyProtection="1">
      <alignment vertical="top"/>
      <protection locked="0"/>
    </xf>
    <xf numFmtId="0" fontId="20" fillId="7" borderId="6" xfId="0" applyFont="1" applyFill="1" applyBorder="1" applyAlignment="1" applyProtection="1">
      <alignment vertical="top" wrapText="1"/>
      <protection locked="0"/>
    </xf>
    <xf numFmtId="0" fontId="20" fillId="7" borderId="0" xfId="0" applyFont="1" applyFill="1" applyAlignment="1" applyProtection="1">
      <alignment vertical="top" wrapText="1"/>
      <protection locked="0"/>
    </xf>
    <xf numFmtId="0" fontId="21" fillId="6" borderId="0" xfId="0" applyFont="1" applyFill="1" applyAlignment="1" applyProtection="1">
      <alignment horizontal="center" vertical="top" wrapText="1"/>
      <protection locked="0"/>
    </xf>
    <xf numFmtId="0" fontId="22" fillId="0" borderId="0" xfId="0" applyFont="1" applyAlignment="1" applyProtection="1">
      <alignment vertical="top"/>
      <protection locked="0"/>
    </xf>
    <xf numFmtId="0" fontId="20" fillId="7" borderId="6" xfId="0" quotePrefix="1" applyFont="1" applyFill="1" applyBorder="1" applyAlignment="1" applyProtection="1">
      <alignment vertical="top" wrapText="1"/>
      <protection locked="0"/>
    </xf>
    <xf numFmtId="0" fontId="20" fillId="7" borderId="0" xfId="0" quotePrefix="1" applyFont="1" applyFill="1" applyAlignment="1" applyProtection="1">
      <alignment vertical="top" wrapText="1"/>
      <protection locked="0"/>
    </xf>
    <xf numFmtId="0" fontId="0" fillId="0" borderId="0" xfId="0" applyProtection="1">
      <protection locked="0"/>
    </xf>
    <xf numFmtId="0" fontId="2" fillId="2" borderId="1" xfId="0" applyFont="1" applyFill="1" applyBorder="1" applyAlignment="1" applyProtection="1">
      <alignment horizontal="left" vertical="top" wrapText="1"/>
      <protection locked="0"/>
    </xf>
    <xf numFmtId="164" fontId="0" fillId="0" borderId="0" xfId="0" applyNumberFormat="1" applyAlignment="1" applyProtection="1">
      <alignment horizontal="center" vertical="center"/>
      <protection locked="0"/>
    </xf>
    <xf numFmtId="0" fontId="5" fillId="0" borderId="0" xfId="0" applyFont="1" applyProtection="1">
      <protection locked="0"/>
    </xf>
    <xf numFmtId="0" fontId="0" fillId="0" borderId="0" xfId="0" applyAlignment="1" applyProtection="1">
      <alignment horizontal="left"/>
      <protection locked="0"/>
    </xf>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0" borderId="2" xfId="0" applyFont="1" applyBorder="1" applyAlignment="1">
      <alignment horizontal="left" vertical="top"/>
    </xf>
    <xf numFmtId="0" fontId="6" fillId="0" borderId="1" xfId="0" applyFont="1" applyBorder="1" applyAlignment="1">
      <alignment vertical="top" wrapText="1"/>
    </xf>
    <xf numFmtId="0" fontId="23" fillId="0" borderId="0" xfId="0" applyFont="1" applyAlignment="1">
      <alignment horizontal="center" vertical="center"/>
    </xf>
    <xf numFmtId="0" fontId="23" fillId="0" borderId="7" xfId="0" applyFont="1" applyBorder="1" applyAlignment="1">
      <alignment horizontal="center" vertical="center"/>
    </xf>
    <xf numFmtId="0" fontId="24" fillId="0" borderId="0" xfId="0" applyFont="1" applyAlignment="1" applyProtection="1">
      <alignment horizontal="center" vertical="center"/>
      <protection locked="0"/>
    </xf>
    <xf numFmtId="0" fontId="24" fillId="0" borderId="7" xfId="0" applyFont="1" applyBorder="1" applyAlignment="1" applyProtection="1">
      <alignment horizontal="center" vertical="center"/>
      <protection locked="0"/>
    </xf>
    <xf numFmtId="0" fontId="25" fillId="0" borderId="0" xfId="0" applyFont="1" applyAlignment="1" applyProtection="1">
      <alignment horizontal="center" vertical="center"/>
      <protection locked="0"/>
    </xf>
    <xf numFmtId="0" fontId="25" fillId="0" borderId="7" xfId="0" applyFont="1" applyBorder="1" applyAlignment="1" applyProtection="1">
      <alignment horizontal="center" vertical="center"/>
      <protection locked="0"/>
    </xf>
    <xf numFmtId="0" fontId="2" fillId="3" borderId="0" xfId="0" applyFont="1" applyFill="1" applyAlignment="1">
      <alignment horizontal="center" vertical="center"/>
    </xf>
    <xf numFmtId="0" fontId="0" fillId="0" borderId="0" xfId="0"/>
    <xf numFmtId="0" fontId="8" fillId="3" borderId="3" xfId="0" applyFont="1" applyFill="1" applyBorder="1" applyAlignment="1">
      <alignment horizontal="left" vertical="center" wrapText="1"/>
    </xf>
    <xf numFmtId="0" fontId="0" fillId="0" borderId="4" xfId="0" applyBorder="1"/>
    <xf numFmtId="0" fontId="0" fillId="0" borderId="5" xfId="0" applyBorder="1"/>
    <xf numFmtId="0" fontId="8" fillId="3" borderId="3" xfId="0" applyFont="1" applyFill="1" applyBorder="1" applyAlignment="1">
      <alignment horizontal="center" vertical="center" wrapText="1"/>
    </xf>
    <xf numFmtId="0" fontId="26" fillId="0" borderId="8" xfId="0" applyFont="1" applyBorder="1" applyAlignment="1">
      <alignment vertical="center" wrapText="1"/>
    </xf>
    <xf numFmtId="0" fontId="0" fillId="0" borderId="0" xfId="0" applyAlignment="1">
      <alignment vertical="center"/>
    </xf>
    <xf numFmtId="0" fontId="0" fillId="0" borderId="0" xfId="0" applyAlignment="1">
      <alignment horizontal="left" vertical="center" indent="1"/>
    </xf>
    <xf numFmtId="0" fontId="27" fillId="0" borderId="0" xfId="0" applyFont="1" applyAlignment="1">
      <alignment horizontal="center" vertical="center"/>
    </xf>
    <xf numFmtId="0" fontId="29" fillId="0" borderId="0" xfId="0" applyFont="1" applyAlignment="1">
      <alignment horizontal="left" vertical="center" wrapText="1"/>
    </xf>
    <xf numFmtId="0" fontId="28" fillId="0" borderId="0" xfId="0" applyFont="1" applyAlignment="1">
      <alignment horizontal="left" vertical="center"/>
    </xf>
    <xf numFmtId="0" fontId="30" fillId="0" borderId="0" xfId="0" applyFont="1" applyAlignment="1">
      <alignment horizontal="left" vertical="center" indent="1"/>
    </xf>
    <xf numFmtId="0" fontId="1" fillId="0" borderId="0" xfId="0" applyFont="1"/>
    <xf numFmtId="0" fontId="30" fillId="0" borderId="0" xfId="0" applyFont="1" applyAlignment="1">
      <alignment horizontal="left" vertical="center" indent="2"/>
    </xf>
    <xf numFmtId="0" fontId="1" fillId="0" borderId="0" xfId="0" applyFont="1" applyAlignment="1">
      <alignment vertical="center"/>
    </xf>
    <xf numFmtId="0" fontId="29" fillId="0" borderId="0" xfId="0" applyFont="1" applyAlignment="1">
      <alignment vertical="center"/>
    </xf>
    <xf numFmtId="0" fontId="30" fillId="0" borderId="0" xfId="0" applyFont="1" applyAlignment="1">
      <alignment vertical="center"/>
    </xf>
    <xf numFmtId="0" fontId="1" fillId="0" borderId="0" xfId="0" applyFont="1" applyAlignment="1"/>
    <xf numFmtId="0" fontId="0" fillId="0" borderId="0" xfId="0" applyAlignment="1"/>
    <xf numFmtId="0" fontId="30" fillId="0" borderId="0" xfId="0" applyFont="1" applyAlignment="1">
      <alignment vertical="center" wrapText="1"/>
    </xf>
  </cellXfs>
  <cellStyles count="1">
    <cellStyle name="Normal" xfId="0" builtinId="0"/>
  </cellStyles>
  <dxfs count="1">
    <dxf>
      <alignment horizontal="general" vertical="center"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OfComplianceTaxonomy" displayName="LevelOfComplianceTaxonomy" ref="A2:C6">
  <autoFilter ref="A2:C6" xr:uid="{00000000-0009-0000-0100-000001000000}"/>
  <tableColumns count="3">
    <tableColumn id="1" xr3:uid="{00000000-0010-0000-0000-000001000000}" name="Category"/>
    <tableColumn id="3" xr3:uid="{180A3DA2-697D-4E0B-83F7-1B00FBAEAB52}" name="Description" dataDxfId="0"/>
    <tableColumn id="2" xr3:uid="{00000000-0010-0000-0000-000002000000}" name="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ightsTaxonomy" displayName="WeightsTaxonomy" ref="E2:F5">
  <autoFilter ref="E2:F5" xr:uid="{00000000-0009-0000-0100-000002000000}"/>
  <tableColumns count="2">
    <tableColumn id="4" xr3:uid="{00000000-0010-0000-0100-000004000000}" name="Category"/>
    <tableColumn id="5" xr3:uid="{00000000-0010-0000-0100-000005000000}" name="Sco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nlineOfflineTaxonomy" displayName="OnlineOfflineTaxonomy" ref="H2:H5">
  <autoFilter ref="H2:H5" xr:uid="{00000000-0009-0000-0100-000003000000}"/>
  <tableColumns count="1">
    <tableColumn id="7" xr3:uid="{00000000-0010-0000-0200-000007000000}" name="Catego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ependencyTaxonomy" displayName="DependencyTaxonomy" ref="J2:J4">
  <autoFilter ref="J2:J4" xr:uid="{00000000-0009-0000-0100-000004000000}"/>
  <tableColumns count="1">
    <tableColumn id="9" xr3:uid="{00000000-0010-0000-0300-000009000000}" name="Category"/>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CA798-ACE7-4F71-B14D-4AA0BDA415F3}">
  <dimension ref="B4:P30"/>
  <sheetViews>
    <sheetView tabSelected="1" workbookViewId="0">
      <selection activeCell="Q17" sqref="Q17"/>
    </sheetView>
  </sheetViews>
  <sheetFormatPr defaultRowHeight="14.5" x14ac:dyDescent="0.35"/>
  <sheetData>
    <row r="4" spans="2:16" ht="20.5" x14ac:dyDescent="0.35">
      <c r="B4" s="54" t="s">
        <v>728</v>
      </c>
      <c r="C4" s="54"/>
      <c r="D4" s="54"/>
      <c r="E4" s="54"/>
      <c r="F4" s="54"/>
      <c r="G4" s="54"/>
      <c r="H4" s="54"/>
      <c r="I4" s="54"/>
      <c r="J4" s="54"/>
      <c r="K4" s="54"/>
      <c r="L4" s="54"/>
      <c r="M4" s="54"/>
      <c r="N4" s="54"/>
      <c r="O4" s="54"/>
      <c r="P4" s="54"/>
    </row>
    <row r="5" spans="2:16" x14ac:dyDescent="0.35">
      <c r="B5" s="52"/>
    </row>
    <row r="6" spans="2:16" x14ac:dyDescent="0.35">
      <c r="B6" s="55" t="s">
        <v>722</v>
      </c>
      <c r="C6" s="55"/>
      <c r="D6" s="55"/>
      <c r="E6" s="55"/>
      <c r="F6" s="55"/>
      <c r="G6" s="55"/>
      <c r="H6" s="55"/>
      <c r="I6" s="55"/>
      <c r="J6" s="55"/>
      <c r="K6" s="55"/>
      <c r="L6" s="55"/>
      <c r="M6" s="55"/>
      <c r="N6" s="55"/>
      <c r="O6" s="55"/>
      <c r="P6" s="55"/>
    </row>
    <row r="7" spans="2:16" ht="70" customHeight="1" x14ac:dyDescent="0.35">
      <c r="B7" s="55"/>
      <c r="C7" s="55"/>
      <c r="D7" s="55"/>
      <c r="E7" s="55"/>
      <c r="F7" s="55"/>
      <c r="G7" s="55"/>
      <c r="H7" s="55"/>
      <c r="I7" s="55"/>
      <c r="J7" s="55"/>
      <c r="K7" s="55"/>
      <c r="L7" s="55"/>
      <c r="M7" s="55"/>
      <c r="N7" s="55"/>
      <c r="O7" s="55"/>
      <c r="P7" s="55"/>
    </row>
    <row r="8" spans="2:16" ht="17.5" x14ac:dyDescent="0.35">
      <c r="B8" s="56" t="s">
        <v>723</v>
      </c>
      <c r="C8" s="56"/>
      <c r="D8" s="56"/>
      <c r="E8" s="56"/>
      <c r="F8" s="56"/>
    </row>
    <row r="9" spans="2:16" x14ac:dyDescent="0.35">
      <c r="B9" s="53"/>
    </row>
    <row r="10" spans="2:16" ht="16.5" x14ac:dyDescent="0.35">
      <c r="B10" s="57" t="s">
        <v>729</v>
      </c>
      <c r="C10" s="58"/>
      <c r="D10" s="58"/>
      <c r="E10" s="58"/>
      <c r="F10" s="58"/>
      <c r="G10" s="58"/>
      <c r="H10" s="58"/>
      <c r="I10" s="58"/>
      <c r="J10" s="58"/>
      <c r="K10" s="58"/>
      <c r="L10" s="58"/>
      <c r="M10" s="58"/>
      <c r="N10" s="58"/>
    </row>
    <row r="11" spans="2:16" ht="16.5" x14ac:dyDescent="0.35">
      <c r="B11" s="57" t="s">
        <v>730</v>
      </c>
      <c r="C11" s="58"/>
      <c r="D11" s="58"/>
      <c r="E11" s="58"/>
      <c r="F11" s="58"/>
      <c r="G11" s="58"/>
      <c r="H11" s="58"/>
      <c r="I11" s="58"/>
      <c r="J11" s="58"/>
      <c r="K11" s="58"/>
      <c r="L11" s="58"/>
      <c r="M11" s="58"/>
      <c r="N11" s="58"/>
    </row>
    <row r="12" spans="2:16" ht="16.5" x14ac:dyDescent="0.35">
      <c r="B12" s="59" t="s">
        <v>731</v>
      </c>
      <c r="C12" s="58"/>
      <c r="D12" s="58"/>
      <c r="E12" s="58"/>
      <c r="F12" s="58"/>
      <c r="G12" s="58"/>
      <c r="H12" s="58"/>
      <c r="I12" s="58"/>
      <c r="J12" s="58"/>
      <c r="K12" s="58"/>
      <c r="L12" s="58"/>
      <c r="M12" s="58"/>
      <c r="N12" s="58"/>
    </row>
    <row r="13" spans="2:16" ht="16.5" x14ac:dyDescent="0.35">
      <c r="B13" s="59" t="s">
        <v>732</v>
      </c>
      <c r="C13" s="58"/>
      <c r="D13" s="58"/>
      <c r="E13" s="58"/>
      <c r="F13" s="58"/>
      <c r="G13" s="58"/>
      <c r="H13" s="58"/>
      <c r="I13" s="58"/>
      <c r="J13" s="58"/>
      <c r="K13" s="58"/>
      <c r="L13" s="58"/>
      <c r="M13" s="58"/>
      <c r="N13" s="58"/>
    </row>
    <row r="14" spans="2:16" ht="16.5" x14ac:dyDescent="0.35">
      <c r="B14" s="59" t="s">
        <v>733</v>
      </c>
      <c r="C14" s="58"/>
      <c r="D14" s="58"/>
      <c r="E14" s="58"/>
      <c r="F14" s="58"/>
      <c r="G14" s="58"/>
      <c r="H14" s="58"/>
      <c r="I14" s="58"/>
      <c r="J14" s="58"/>
      <c r="K14" s="58"/>
      <c r="L14" s="58"/>
      <c r="M14" s="58"/>
      <c r="N14" s="58"/>
    </row>
    <row r="15" spans="2:16" ht="16.5" x14ac:dyDescent="0.35">
      <c r="B15" s="59" t="s">
        <v>734</v>
      </c>
      <c r="C15" s="58"/>
      <c r="D15" s="58"/>
      <c r="E15" s="58"/>
      <c r="F15" s="58"/>
      <c r="G15" s="58"/>
      <c r="H15" s="58"/>
      <c r="I15" s="58"/>
      <c r="J15" s="58"/>
      <c r="K15" s="58"/>
      <c r="L15" s="58"/>
      <c r="M15" s="58"/>
      <c r="N15" s="58"/>
    </row>
    <row r="16" spans="2:16" ht="16.5" x14ac:dyDescent="0.35">
      <c r="B16" s="62" t="s">
        <v>735</v>
      </c>
      <c r="C16" s="63"/>
      <c r="D16" s="63"/>
      <c r="E16" s="63"/>
      <c r="F16" s="63"/>
      <c r="G16" s="63"/>
      <c r="H16" s="63"/>
      <c r="I16" s="63"/>
      <c r="J16" s="63"/>
      <c r="K16" s="63"/>
      <c r="L16" s="63"/>
      <c r="M16" s="63"/>
      <c r="N16" s="63"/>
      <c r="O16" s="64"/>
    </row>
    <row r="17" spans="2:16" ht="16.5" x14ac:dyDescent="0.35">
      <c r="B17" s="62" t="s">
        <v>686</v>
      </c>
      <c r="C17" s="63"/>
      <c r="D17" s="63"/>
      <c r="E17" s="63"/>
      <c r="F17" s="63"/>
      <c r="G17" s="63"/>
      <c r="H17" s="63"/>
      <c r="I17" s="63"/>
      <c r="J17" s="63"/>
      <c r="K17" s="63"/>
      <c r="L17" s="63"/>
      <c r="M17" s="63"/>
      <c r="N17" s="63"/>
      <c r="O17" s="64"/>
    </row>
    <row r="18" spans="2:16" ht="16.5" x14ac:dyDescent="0.35">
      <c r="B18" s="62" t="s">
        <v>689</v>
      </c>
      <c r="C18" s="63"/>
      <c r="D18" s="63"/>
      <c r="E18" s="63"/>
      <c r="F18" s="63"/>
      <c r="G18" s="63"/>
      <c r="H18" s="63"/>
      <c r="I18" s="63"/>
      <c r="J18" s="63"/>
      <c r="K18" s="63"/>
      <c r="L18" s="63"/>
      <c r="M18" s="63"/>
      <c r="N18" s="63"/>
      <c r="O18" s="64"/>
    </row>
    <row r="19" spans="2:16" ht="16.5" x14ac:dyDescent="0.35">
      <c r="B19" s="62" t="s">
        <v>692</v>
      </c>
      <c r="C19" s="63"/>
      <c r="D19" s="63"/>
      <c r="E19" s="63"/>
      <c r="F19" s="63"/>
      <c r="G19" s="63"/>
      <c r="H19" s="63"/>
      <c r="I19" s="63"/>
      <c r="J19" s="63"/>
      <c r="K19" s="63"/>
      <c r="L19" s="63"/>
      <c r="M19" s="63"/>
      <c r="N19" s="63"/>
      <c r="O19" s="64"/>
    </row>
    <row r="20" spans="2:16" ht="16.5" x14ac:dyDescent="0.35">
      <c r="B20" s="62" t="s">
        <v>736</v>
      </c>
      <c r="C20" s="63"/>
      <c r="D20" s="63"/>
      <c r="E20" s="63"/>
      <c r="F20" s="63"/>
      <c r="G20" s="63"/>
      <c r="H20" s="63"/>
      <c r="I20" s="63"/>
      <c r="J20" s="63"/>
      <c r="K20" s="63"/>
      <c r="L20" s="63"/>
      <c r="M20" s="63"/>
      <c r="N20" s="63"/>
      <c r="O20" s="64"/>
    </row>
    <row r="21" spans="2:16" ht="16.5" x14ac:dyDescent="0.35">
      <c r="B21" s="62" t="s">
        <v>737</v>
      </c>
      <c r="C21" s="63"/>
      <c r="D21" s="63"/>
      <c r="E21" s="63"/>
      <c r="F21" s="63"/>
      <c r="G21" s="63"/>
      <c r="H21" s="63"/>
      <c r="I21" s="63"/>
      <c r="J21" s="63"/>
      <c r="K21" s="63"/>
      <c r="L21" s="63"/>
      <c r="M21" s="63"/>
      <c r="N21" s="63"/>
      <c r="O21" s="64"/>
    </row>
    <row r="22" spans="2:16" ht="16.5" x14ac:dyDescent="0.35">
      <c r="B22" s="61" t="s">
        <v>738</v>
      </c>
      <c r="C22" s="63"/>
      <c r="D22" s="63"/>
      <c r="E22" s="63"/>
      <c r="F22" s="63"/>
      <c r="G22" s="63"/>
      <c r="H22" s="63"/>
      <c r="I22" s="63"/>
      <c r="J22" s="63"/>
      <c r="K22" s="63"/>
      <c r="L22" s="63"/>
      <c r="M22" s="63"/>
      <c r="N22" s="63"/>
      <c r="O22" s="64"/>
    </row>
    <row r="23" spans="2:16" ht="38.5" customHeight="1" x14ac:dyDescent="0.35">
      <c r="B23" s="65" t="s">
        <v>739</v>
      </c>
      <c r="C23" s="65"/>
      <c r="D23" s="65"/>
      <c r="E23" s="65"/>
      <c r="F23" s="65"/>
      <c r="G23" s="65"/>
      <c r="H23" s="65"/>
      <c r="I23" s="65"/>
      <c r="J23" s="65"/>
      <c r="K23" s="65"/>
      <c r="L23" s="65"/>
      <c r="M23" s="65"/>
      <c r="N23" s="65"/>
      <c r="O23" s="65"/>
    </row>
    <row r="24" spans="2:16" ht="16.5" x14ac:dyDescent="0.35">
      <c r="B24" s="61" t="s">
        <v>724</v>
      </c>
      <c r="C24" s="63"/>
      <c r="D24" s="63"/>
      <c r="E24" s="63"/>
      <c r="F24" s="63"/>
      <c r="G24" s="63"/>
      <c r="H24" s="63"/>
      <c r="I24" s="63"/>
      <c r="J24" s="63"/>
      <c r="K24" s="63"/>
      <c r="L24" s="63"/>
      <c r="M24" s="63"/>
      <c r="N24" s="63"/>
      <c r="O24" s="64"/>
    </row>
    <row r="25" spans="2:16" ht="16.5" x14ac:dyDescent="0.35">
      <c r="B25" s="61" t="s">
        <v>725</v>
      </c>
      <c r="C25" s="63"/>
      <c r="D25" s="63"/>
      <c r="E25" s="63"/>
      <c r="F25" s="63"/>
      <c r="G25" s="63"/>
      <c r="H25" s="63"/>
      <c r="I25" s="63"/>
      <c r="J25" s="63"/>
      <c r="K25" s="63"/>
      <c r="L25" s="63"/>
      <c r="M25" s="63"/>
      <c r="N25" s="63"/>
      <c r="O25" s="64"/>
    </row>
    <row r="26" spans="2:16" ht="40" customHeight="1" x14ac:dyDescent="0.35">
      <c r="B26" s="55" t="s">
        <v>726</v>
      </c>
      <c r="C26" s="55"/>
      <c r="D26" s="55"/>
      <c r="E26" s="55"/>
      <c r="F26" s="55"/>
      <c r="G26" s="55"/>
      <c r="H26" s="55"/>
      <c r="I26" s="55"/>
      <c r="J26" s="55"/>
      <c r="K26" s="55"/>
      <c r="L26" s="55"/>
      <c r="M26" s="55"/>
      <c r="N26" s="55"/>
      <c r="O26" s="55"/>
      <c r="P26" s="55"/>
    </row>
    <row r="27" spans="2:16" x14ac:dyDescent="0.35">
      <c r="B27" s="60"/>
      <c r="C27" s="58"/>
      <c r="D27" s="58"/>
      <c r="E27" s="58"/>
      <c r="F27" s="58"/>
      <c r="G27" s="58"/>
      <c r="H27" s="58"/>
      <c r="I27" s="58"/>
      <c r="J27" s="58"/>
      <c r="K27" s="58"/>
      <c r="L27" s="58"/>
      <c r="M27" s="58"/>
      <c r="N27" s="58"/>
    </row>
    <row r="28" spans="2:16" ht="16.5" customHeight="1" x14ac:dyDescent="0.35">
      <c r="B28" s="55" t="s">
        <v>727</v>
      </c>
      <c r="C28" s="55"/>
      <c r="D28" s="55"/>
      <c r="E28" s="55"/>
      <c r="F28" s="55"/>
      <c r="G28" s="55"/>
      <c r="H28" s="55"/>
      <c r="I28" s="55"/>
      <c r="J28" s="55"/>
      <c r="K28" s="55"/>
      <c r="L28" s="55"/>
      <c r="M28" s="55"/>
      <c r="N28" s="55"/>
      <c r="O28" s="55"/>
      <c r="P28" s="55"/>
    </row>
    <row r="29" spans="2:16" x14ac:dyDescent="0.35">
      <c r="B29" s="55"/>
      <c r="C29" s="55"/>
      <c r="D29" s="55"/>
      <c r="E29" s="55"/>
      <c r="F29" s="55"/>
      <c r="G29" s="55"/>
      <c r="H29" s="55"/>
      <c r="I29" s="55"/>
      <c r="J29" s="55"/>
      <c r="K29" s="55"/>
      <c r="L29" s="55"/>
      <c r="M29" s="55"/>
      <c r="N29" s="55"/>
      <c r="O29" s="55"/>
      <c r="P29" s="55"/>
    </row>
    <row r="30" spans="2:16" x14ac:dyDescent="0.35">
      <c r="B30" s="55"/>
      <c r="C30" s="55"/>
      <c r="D30" s="55"/>
      <c r="E30" s="55"/>
      <c r="F30" s="55"/>
      <c r="G30" s="55"/>
      <c r="H30" s="55"/>
      <c r="I30" s="55"/>
      <c r="J30" s="55"/>
      <c r="K30" s="55"/>
      <c r="L30" s="55"/>
      <c r="M30" s="55"/>
      <c r="N30" s="55"/>
      <c r="O30" s="55"/>
      <c r="P30" s="55"/>
    </row>
  </sheetData>
  <mergeCells count="6">
    <mergeCell ref="B4:P4"/>
    <mergeCell ref="B6:P7"/>
    <mergeCell ref="B8:F8"/>
    <mergeCell ref="B28:P30"/>
    <mergeCell ref="B23:O23"/>
    <mergeCell ref="B26:P2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11"/>
  <sheetViews>
    <sheetView topLeftCell="C1" workbookViewId="0">
      <pane ySplit="12" topLeftCell="A30" activePane="bottomLeft" state="frozen"/>
      <selection pane="bottomLeft" activeCell="E33" sqref="E33"/>
    </sheetView>
  </sheetViews>
  <sheetFormatPr defaultColWidth="14.453125" defaultRowHeight="15" customHeight="1" x14ac:dyDescent="0.35"/>
  <cols>
    <col min="1" max="1" width="22.26953125" style="30" customWidth="1"/>
    <col min="2" max="2" width="18.54296875" style="30" customWidth="1"/>
    <col min="3" max="3" width="21.81640625" style="30" customWidth="1"/>
    <col min="4" max="4" width="35" style="30" customWidth="1"/>
    <col min="5" max="5" width="90" style="30" customWidth="1"/>
    <col min="6" max="6" width="16" style="34" customWidth="1"/>
    <col min="7" max="7" width="21" style="30" customWidth="1"/>
    <col min="8" max="8" width="18" style="30" customWidth="1"/>
    <col min="9" max="9" width="28" style="30" customWidth="1"/>
    <col min="10" max="10" width="21" style="30" customWidth="1"/>
    <col min="11" max="12" width="14" style="30" customWidth="1"/>
    <col min="13" max="13" width="16" style="30" customWidth="1"/>
    <col min="14" max="26" width="14" style="30" customWidth="1"/>
    <col min="27" max="16384" width="14.453125" style="30"/>
  </cols>
  <sheetData>
    <row r="1" spans="1:25" s="20" customFormat="1" ht="29.5" x14ac:dyDescent="0.25">
      <c r="A1" s="14" t="s">
        <v>708</v>
      </c>
      <c r="B1" s="15"/>
      <c r="C1" s="15"/>
      <c r="D1" s="16"/>
      <c r="E1" s="16"/>
      <c r="F1" s="17"/>
      <c r="G1" s="18"/>
      <c r="H1" s="18"/>
      <c r="I1" s="17"/>
      <c r="J1" s="17"/>
      <c r="K1" s="17"/>
      <c r="L1" s="17"/>
      <c r="M1" s="19"/>
      <c r="N1" s="19"/>
      <c r="O1" s="19"/>
      <c r="P1" s="19"/>
      <c r="Q1" s="19"/>
      <c r="R1" s="19"/>
      <c r="S1" s="19"/>
      <c r="T1" s="19"/>
      <c r="U1" s="19"/>
      <c r="V1" s="19"/>
      <c r="W1" s="19"/>
      <c r="X1" s="19"/>
      <c r="Y1" s="19"/>
    </row>
    <row r="2" spans="1:25" s="20" customFormat="1" ht="22.5" x14ac:dyDescent="0.25">
      <c r="A2" s="21"/>
      <c r="B2" s="15"/>
      <c r="C2" s="15"/>
      <c r="D2" s="16"/>
      <c r="E2" s="16"/>
      <c r="F2" s="17"/>
      <c r="G2" s="17"/>
      <c r="H2" s="17"/>
      <c r="I2" s="17"/>
      <c r="J2" s="17"/>
      <c r="K2" s="17"/>
      <c r="L2" s="17"/>
      <c r="M2" s="19"/>
      <c r="N2" s="19"/>
      <c r="O2" s="19"/>
      <c r="P2" s="19"/>
      <c r="Q2" s="19"/>
      <c r="R2" s="19"/>
      <c r="S2" s="19"/>
      <c r="T2" s="19"/>
      <c r="U2" s="19"/>
      <c r="V2" s="19"/>
      <c r="W2" s="19"/>
      <c r="X2" s="19"/>
      <c r="Y2" s="19"/>
    </row>
    <row r="3" spans="1:25" s="20" customFormat="1" ht="22.5" x14ac:dyDescent="0.25">
      <c r="A3" s="22" t="s">
        <v>709</v>
      </c>
      <c r="B3" s="15"/>
      <c r="C3" s="15"/>
      <c r="D3" s="16"/>
      <c r="E3" s="16"/>
      <c r="F3" s="17"/>
      <c r="G3" s="17"/>
      <c r="H3" s="17"/>
      <c r="I3" s="17"/>
      <c r="J3" s="17"/>
      <c r="K3" s="17"/>
      <c r="L3" s="17"/>
      <c r="M3" s="19"/>
      <c r="N3" s="19"/>
      <c r="O3" s="19"/>
      <c r="P3" s="19"/>
      <c r="Q3" s="19"/>
      <c r="R3" s="19"/>
      <c r="S3" s="19"/>
      <c r="T3" s="19"/>
      <c r="U3" s="19"/>
      <c r="V3" s="19"/>
      <c r="W3" s="19"/>
      <c r="X3" s="19"/>
      <c r="Y3" s="19"/>
    </row>
    <row r="4" spans="1:25" s="20" customFormat="1" ht="14" x14ac:dyDescent="0.25">
      <c r="A4" s="23" t="s">
        <v>713</v>
      </c>
      <c r="B4" s="23"/>
      <c r="C4" s="23"/>
      <c r="D4" s="24"/>
      <c r="E4" s="25"/>
      <c r="F4" s="26"/>
      <c r="G4" s="26"/>
      <c r="H4" s="26"/>
      <c r="I4" s="26"/>
      <c r="J4" s="26"/>
      <c r="K4" s="26"/>
      <c r="L4" s="26"/>
      <c r="M4" s="27"/>
      <c r="N4" s="27"/>
      <c r="O4" s="27"/>
      <c r="P4" s="27"/>
      <c r="Q4" s="27"/>
      <c r="R4" s="27"/>
      <c r="S4" s="27"/>
      <c r="T4" s="27"/>
      <c r="U4" s="27"/>
      <c r="V4" s="27"/>
      <c r="W4" s="27"/>
      <c r="X4" s="27"/>
      <c r="Y4" s="27"/>
    </row>
    <row r="5" spans="1:25" s="20" customFormat="1" ht="14" x14ac:dyDescent="0.25">
      <c r="A5" s="23" t="s">
        <v>710</v>
      </c>
      <c r="B5" s="23"/>
      <c r="C5" s="23"/>
      <c r="D5" s="24"/>
      <c r="E5" s="25"/>
      <c r="F5" s="26"/>
      <c r="G5" s="26"/>
      <c r="H5" s="26"/>
      <c r="I5" s="26"/>
      <c r="J5" s="26"/>
      <c r="K5" s="26"/>
      <c r="L5" s="26"/>
      <c r="M5" s="27"/>
      <c r="N5" s="27"/>
      <c r="O5" s="27"/>
      <c r="P5" s="27"/>
      <c r="Q5" s="27"/>
      <c r="R5" s="27"/>
      <c r="S5" s="27"/>
      <c r="T5" s="27"/>
      <c r="U5" s="27"/>
      <c r="V5" s="27"/>
      <c r="W5" s="27"/>
      <c r="X5" s="27"/>
      <c r="Y5" s="27"/>
    </row>
    <row r="6" spans="1:25" s="20" customFormat="1" ht="14" x14ac:dyDescent="0.25">
      <c r="A6" s="23" t="s">
        <v>711</v>
      </c>
      <c r="B6" s="23"/>
      <c r="C6" s="23"/>
      <c r="D6" s="24"/>
      <c r="E6" s="25"/>
      <c r="F6" s="26"/>
      <c r="G6" s="26"/>
      <c r="H6" s="26"/>
      <c r="I6" s="26"/>
      <c r="J6" s="26"/>
      <c r="K6" s="26"/>
      <c r="L6" s="26"/>
      <c r="M6" s="27"/>
      <c r="N6" s="27"/>
      <c r="O6" s="27"/>
      <c r="P6" s="27"/>
      <c r="Q6" s="27"/>
      <c r="R6" s="27"/>
      <c r="S6" s="27"/>
      <c r="T6" s="27"/>
      <c r="U6" s="27"/>
      <c r="V6" s="27"/>
      <c r="W6" s="27"/>
      <c r="X6" s="27"/>
      <c r="Y6" s="27"/>
    </row>
    <row r="7" spans="1:25" s="20" customFormat="1" ht="14" x14ac:dyDescent="0.25">
      <c r="A7" s="23" t="s">
        <v>712</v>
      </c>
      <c r="B7" s="23"/>
      <c r="C7" s="23"/>
      <c r="D7" s="28"/>
      <c r="E7" s="29"/>
      <c r="F7" s="26"/>
      <c r="G7" s="26"/>
      <c r="H7" s="26"/>
      <c r="I7" s="26"/>
      <c r="J7" s="26"/>
      <c r="K7" s="26"/>
      <c r="L7" s="26"/>
      <c r="M7" s="27"/>
      <c r="N7" s="27"/>
      <c r="O7" s="27"/>
      <c r="P7" s="27"/>
      <c r="Q7" s="27"/>
      <c r="R7" s="27"/>
      <c r="S7" s="27"/>
      <c r="T7" s="27"/>
      <c r="U7" s="27"/>
      <c r="V7" s="27"/>
      <c r="W7" s="27"/>
      <c r="X7" s="27"/>
      <c r="Y7" s="27"/>
    </row>
    <row r="8" spans="1:25" s="20" customFormat="1" ht="22.5" x14ac:dyDescent="0.25">
      <c r="A8" s="21"/>
      <c r="B8" s="15"/>
      <c r="C8" s="15"/>
      <c r="D8" s="16"/>
      <c r="E8" s="16"/>
      <c r="F8" s="17"/>
      <c r="G8" s="17"/>
      <c r="H8" s="17"/>
      <c r="I8" s="17"/>
      <c r="J8" s="17"/>
      <c r="K8" s="17"/>
      <c r="L8" s="17"/>
      <c r="M8" s="19"/>
      <c r="N8" s="19"/>
      <c r="O8" s="19"/>
      <c r="P8" s="19"/>
      <c r="Q8" s="19"/>
      <c r="R8" s="19"/>
      <c r="S8" s="19"/>
      <c r="T8" s="19"/>
      <c r="U8" s="19"/>
      <c r="V8" s="19"/>
      <c r="W8" s="19"/>
      <c r="X8" s="19"/>
      <c r="Y8" s="19"/>
    </row>
    <row r="9" spans="1:25" s="20" customFormat="1" ht="43.5" customHeight="1" x14ac:dyDescent="0.25">
      <c r="A9" s="22" t="s">
        <v>714</v>
      </c>
      <c r="B9" s="15"/>
      <c r="C9" s="15"/>
      <c r="D9" s="16"/>
      <c r="E9" s="16"/>
      <c r="F9" s="17"/>
      <c r="G9" s="17"/>
      <c r="H9" s="17"/>
      <c r="I9" s="17"/>
      <c r="J9" s="17"/>
      <c r="K9" s="17"/>
      <c r="L9" s="17"/>
      <c r="M9" s="19"/>
      <c r="N9" s="19"/>
      <c r="O9" s="19"/>
      <c r="P9" s="19"/>
      <c r="Q9" s="19"/>
      <c r="R9" s="19"/>
      <c r="S9" s="19"/>
      <c r="T9" s="19"/>
      <c r="U9" s="19"/>
      <c r="V9" s="19"/>
      <c r="W9" s="19"/>
      <c r="X9" s="19"/>
      <c r="Y9" s="19"/>
    </row>
    <row r="10" spans="1:25" ht="15" customHeight="1" x14ac:dyDescent="0.35">
      <c r="A10" s="39" t="s">
        <v>715</v>
      </c>
      <c r="B10" s="39"/>
      <c r="C10" s="39"/>
      <c r="D10" s="39"/>
      <c r="E10" s="39"/>
      <c r="F10" s="39"/>
      <c r="G10" s="41" t="s">
        <v>716</v>
      </c>
      <c r="H10" s="41"/>
      <c r="I10" s="41"/>
      <c r="J10" s="41"/>
      <c r="K10" s="43" t="s">
        <v>717</v>
      </c>
      <c r="L10" s="43"/>
      <c r="M10" s="43"/>
    </row>
    <row r="11" spans="1:25" ht="15" customHeight="1" x14ac:dyDescent="0.35">
      <c r="A11" s="40"/>
      <c r="B11" s="40"/>
      <c r="C11" s="40"/>
      <c r="D11" s="40"/>
      <c r="E11" s="40"/>
      <c r="F11" s="40"/>
      <c r="G11" s="42"/>
      <c r="H11" s="42"/>
      <c r="I11" s="42"/>
      <c r="J11" s="42"/>
      <c r="K11" s="44"/>
      <c r="L11" s="44"/>
      <c r="M11" s="44"/>
    </row>
    <row r="12" spans="1:25" ht="14.25" customHeight="1" x14ac:dyDescent="0.35">
      <c r="A12" s="1" t="s">
        <v>0</v>
      </c>
      <c r="B12" s="1" t="s">
        <v>1</v>
      </c>
      <c r="C12" s="1" t="s">
        <v>2</v>
      </c>
      <c r="D12" s="1" t="s">
        <v>3</v>
      </c>
      <c r="E12" s="1" t="s">
        <v>4</v>
      </c>
      <c r="F12" s="35" t="s">
        <v>5</v>
      </c>
      <c r="G12" s="31" t="s">
        <v>6</v>
      </c>
      <c r="H12" s="31" t="s">
        <v>7</v>
      </c>
      <c r="I12" s="31" t="s">
        <v>8</v>
      </c>
      <c r="J12" s="31" t="s">
        <v>9</v>
      </c>
      <c r="K12" s="31" t="s">
        <v>10</v>
      </c>
      <c r="L12" s="31" t="s">
        <v>11</v>
      </c>
      <c r="M12" s="31" t="s">
        <v>12</v>
      </c>
    </row>
    <row r="13" spans="1:25" ht="14.25" customHeight="1" x14ac:dyDescent="0.35">
      <c r="A13" s="2" t="s">
        <v>13</v>
      </c>
      <c r="B13" s="2" t="s">
        <v>14</v>
      </c>
      <c r="C13" s="2" t="s">
        <v>15</v>
      </c>
      <c r="D13" s="2" t="s">
        <v>16</v>
      </c>
      <c r="E13" s="2" t="s">
        <v>17</v>
      </c>
      <c r="F13" s="36" t="s">
        <v>18</v>
      </c>
      <c r="K13" s="32" t="str">
        <f>IFERROR(VLOOKUP(G13,'Taxonomy Sheet'!$A$3:$C$6,2,FALSE),"")</f>
        <v/>
      </c>
      <c r="L13" s="32">
        <f>IFERROR(VLOOKUP(F13,'Taxonomy Sheet'!$E$3:$F$5,2,FALSE),"")</f>
        <v>2</v>
      </c>
      <c r="M13" s="32" t="str">
        <f t="shared" ref="M13:M76" si="0">IF(OR(K13="",L13=""),"",K13*L13)</f>
        <v/>
      </c>
    </row>
    <row r="14" spans="1:25" ht="14.25" customHeight="1" x14ac:dyDescent="0.35">
      <c r="A14" s="2" t="s">
        <v>19</v>
      </c>
      <c r="B14" s="2" t="s">
        <v>14</v>
      </c>
      <c r="C14" s="2" t="s">
        <v>15</v>
      </c>
      <c r="D14" s="2" t="s">
        <v>20</v>
      </c>
      <c r="E14" s="2" t="s">
        <v>21</v>
      </c>
      <c r="F14" s="36" t="s">
        <v>18</v>
      </c>
      <c r="K14" s="32" t="str">
        <f>IFERROR(VLOOKUP(G14,'Taxonomy Sheet'!$A$3:$C$6,2,FALSE),"")</f>
        <v/>
      </c>
      <c r="L14" s="32">
        <f>IFERROR(VLOOKUP(F14,'Taxonomy Sheet'!$E$3:$F$5,2,FALSE),"")</f>
        <v>2</v>
      </c>
      <c r="M14" s="32" t="str">
        <f t="shared" si="0"/>
        <v/>
      </c>
    </row>
    <row r="15" spans="1:25" ht="14.25" customHeight="1" x14ac:dyDescent="0.35">
      <c r="A15" s="2" t="s">
        <v>22</v>
      </c>
      <c r="B15" s="2" t="s">
        <v>14</v>
      </c>
      <c r="C15" s="2" t="s">
        <v>15</v>
      </c>
      <c r="D15" s="2" t="s">
        <v>23</v>
      </c>
      <c r="E15" s="2" t="s">
        <v>24</v>
      </c>
      <c r="F15" s="36" t="s">
        <v>18</v>
      </c>
      <c r="K15" s="32" t="str">
        <f>IFERROR(VLOOKUP(G15,'Taxonomy Sheet'!$A$3:$C$6,2,FALSE),"")</f>
        <v/>
      </c>
      <c r="L15" s="32">
        <f>IFERROR(VLOOKUP(F15,'Taxonomy Sheet'!$E$3:$F$5,2,FALSE),"")</f>
        <v>2</v>
      </c>
      <c r="M15" s="32" t="str">
        <f t="shared" si="0"/>
        <v/>
      </c>
    </row>
    <row r="16" spans="1:25" ht="14.25" customHeight="1" x14ac:dyDescent="0.35">
      <c r="A16" s="2" t="s">
        <v>25</v>
      </c>
      <c r="B16" s="2" t="s">
        <v>14</v>
      </c>
      <c r="C16" s="2" t="s">
        <v>15</v>
      </c>
      <c r="D16" s="2" t="s">
        <v>26</v>
      </c>
      <c r="E16" s="2" t="s">
        <v>27</v>
      </c>
      <c r="F16" s="36" t="s">
        <v>18</v>
      </c>
      <c r="K16" s="32" t="str">
        <f>IFERROR(VLOOKUP(G16,'Taxonomy Sheet'!$A$3:$C$6,2,FALSE),"")</f>
        <v/>
      </c>
      <c r="L16" s="32">
        <f>IFERROR(VLOOKUP(F16,'Taxonomy Sheet'!$E$3:$F$5,2,FALSE),"")</f>
        <v>2</v>
      </c>
      <c r="M16" s="32" t="str">
        <f t="shared" si="0"/>
        <v/>
      </c>
    </row>
    <row r="17" spans="1:13" ht="14.25" customHeight="1" x14ac:dyDescent="0.35">
      <c r="A17" s="2" t="s">
        <v>28</v>
      </c>
      <c r="B17" s="2" t="s">
        <v>14</v>
      </c>
      <c r="C17" s="2" t="s">
        <v>15</v>
      </c>
      <c r="D17" s="2" t="s">
        <v>29</v>
      </c>
      <c r="E17" s="2" t="s">
        <v>30</v>
      </c>
      <c r="F17" s="36" t="s">
        <v>18</v>
      </c>
      <c r="K17" s="32" t="str">
        <f>IFERROR(VLOOKUP(G17,'Taxonomy Sheet'!$A$3:$C$6,2,FALSE),"")</f>
        <v/>
      </c>
      <c r="L17" s="32">
        <f>IFERROR(VLOOKUP(F17,'Taxonomy Sheet'!$E$3:$F$5,2,FALSE),"")</f>
        <v>2</v>
      </c>
      <c r="M17" s="32" t="str">
        <f t="shared" si="0"/>
        <v/>
      </c>
    </row>
    <row r="18" spans="1:13" ht="14.25" customHeight="1" x14ac:dyDescent="0.35">
      <c r="A18" s="2" t="s">
        <v>31</v>
      </c>
      <c r="B18" s="2" t="s">
        <v>14</v>
      </c>
      <c r="C18" s="2" t="s">
        <v>15</v>
      </c>
      <c r="D18" s="2" t="s">
        <v>32</v>
      </c>
      <c r="E18" s="2" t="s">
        <v>33</v>
      </c>
      <c r="F18" s="36" t="s">
        <v>18</v>
      </c>
      <c r="K18" s="32" t="str">
        <f>IFERROR(VLOOKUP(G18,'Taxonomy Sheet'!$A$3:$C$6,2,FALSE),"")</f>
        <v/>
      </c>
      <c r="L18" s="32">
        <f>IFERROR(VLOOKUP(F18,'Taxonomy Sheet'!$E$3:$F$5,2,FALSE),"")</f>
        <v>2</v>
      </c>
      <c r="M18" s="32" t="str">
        <f t="shared" si="0"/>
        <v/>
      </c>
    </row>
    <row r="19" spans="1:13" ht="14.25" customHeight="1" x14ac:dyDescent="0.35">
      <c r="A19" s="2" t="s">
        <v>34</v>
      </c>
      <c r="B19" s="2" t="s">
        <v>14</v>
      </c>
      <c r="C19" s="2" t="s">
        <v>15</v>
      </c>
      <c r="D19" s="2" t="s">
        <v>35</v>
      </c>
      <c r="E19" s="2" t="s">
        <v>36</v>
      </c>
      <c r="F19" s="36" t="s">
        <v>18</v>
      </c>
      <c r="K19" s="32" t="str">
        <f>IFERROR(VLOOKUP(G19,'Taxonomy Sheet'!$A$3:$C$6,2,FALSE),"")</f>
        <v/>
      </c>
      <c r="L19" s="32">
        <f>IFERROR(VLOOKUP(F19,'Taxonomy Sheet'!$E$3:$F$5,2,FALSE),"")</f>
        <v>2</v>
      </c>
      <c r="M19" s="32" t="str">
        <f t="shared" si="0"/>
        <v/>
      </c>
    </row>
    <row r="20" spans="1:13" ht="14.25" customHeight="1" x14ac:dyDescent="0.35">
      <c r="A20" s="2" t="s">
        <v>37</v>
      </c>
      <c r="B20" s="2" t="s">
        <v>14</v>
      </c>
      <c r="C20" s="2" t="s">
        <v>15</v>
      </c>
      <c r="D20" s="2" t="s">
        <v>38</v>
      </c>
      <c r="E20" s="2" t="s">
        <v>39</v>
      </c>
      <c r="F20" s="36" t="s">
        <v>18</v>
      </c>
      <c r="K20" s="32" t="str">
        <f>IFERROR(VLOOKUP(G20,'Taxonomy Sheet'!$A$3:$C$6,2,FALSE),"")</f>
        <v/>
      </c>
      <c r="L20" s="32">
        <f>IFERROR(VLOOKUP(F20,'Taxonomy Sheet'!$E$3:$F$5,2,FALSE),"")</f>
        <v>2</v>
      </c>
      <c r="M20" s="32" t="str">
        <f t="shared" si="0"/>
        <v/>
      </c>
    </row>
    <row r="21" spans="1:13" ht="14.25" customHeight="1" x14ac:dyDescent="0.35">
      <c r="A21" s="2" t="s">
        <v>40</v>
      </c>
      <c r="B21" s="2" t="s">
        <v>14</v>
      </c>
      <c r="C21" s="2" t="s">
        <v>15</v>
      </c>
      <c r="D21" s="2" t="s">
        <v>41</v>
      </c>
      <c r="E21" s="2" t="s">
        <v>42</v>
      </c>
      <c r="F21" s="36" t="s">
        <v>18</v>
      </c>
      <c r="K21" s="32" t="str">
        <f>IFERROR(VLOOKUP(G21,'Taxonomy Sheet'!$A$3:$C$6,2,FALSE),"")</f>
        <v/>
      </c>
      <c r="L21" s="32">
        <f>IFERROR(VLOOKUP(F21,'Taxonomy Sheet'!$E$3:$F$5,2,FALSE),"")</f>
        <v>2</v>
      </c>
      <c r="M21" s="32" t="str">
        <f t="shared" si="0"/>
        <v/>
      </c>
    </row>
    <row r="22" spans="1:13" ht="14.25" customHeight="1" x14ac:dyDescent="0.35">
      <c r="A22" s="2" t="s">
        <v>43</v>
      </c>
      <c r="B22" s="2" t="s">
        <v>14</v>
      </c>
      <c r="C22" s="2" t="s">
        <v>15</v>
      </c>
      <c r="D22" s="2" t="s">
        <v>44</v>
      </c>
      <c r="E22" s="2" t="s">
        <v>45</v>
      </c>
      <c r="F22" s="36" t="s">
        <v>18</v>
      </c>
      <c r="K22" s="32" t="str">
        <f>IFERROR(VLOOKUP(G22,'Taxonomy Sheet'!$A$3:$C$6,2,FALSE),"")</f>
        <v/>
      </c>
      <c r="L22" s="32">
        <f>IFERROR(VLOOKUP(F22,'Taxonomy Sheet'!$E$3:$F$5,2,FALSE),"")</f>
        <v>2</v>
      </c>
      <c r="M22" s="32" t="str">
        <f t="shared" si="0"/>
        <v/>
      </c>
    </row>
    <row r="23" spans="1:13" ht="14.25" customHeight="1" x14ac:dyDescent="0.35">
      <c r="A23" s="2" t="s">
        <v>46</v>
      </c>
      <c r="B23" s="2" t="s">
        <v>14</v>
      </c>
      <c r="C23" s="2" t="s">
        <v>47</v>
      </c>
      <c r="D23" s="2" t="s">
        <v>48</v>
      </c>
      <c r="E23" s="2" t="s">
        <v>49</v>
      </c>
      <c r="F23" s="36" t="s">
        <v>18</v>
      </c>
      <c r="K23" s="32" t="str">
        <f>IFERROR(VLOOKUP(G23,'Taxonomy Sheet'!$A$3:$C$6,2,FALSE),"")</f>
        <v/>
      </c>
      <c r="L23" s="32">
        <f>IFERROR(VLOOKUP(F23,'Taxonomy Sheet'!$E$3:$F$5,2,FALSE),"")</f>
        <v>2</v>
      </c>
      <c r="M23" s="32" t="str">
        <f t="shared" si="0"/>
        <v/>
      </c>
    </row>
    <row r="24" spans="1:13" ht="14.25" customHeight="1" x14ac:dyDescent="0.35">
      <c r="A24" s="2" t="s">
        <v>50</v>
      </c>
      <c r="B24" s="2" t="s">
        <v>14</v>
      </c>
      <c r="C24" s="2" t="s">
        <v>47</v>
      </c>
      <c r="D24" s="2" t="s">
        <v>51</v>
      </c>
      <c r="E24" s="2" t="s">
        <v>52</v>
      </c>
      <c r="F24" s="36" t="s">
        <v>18</v>
      </c>
      <c r="K24" s="32" t="str">
        <f>IFERROR(VLOOKUP(G24,'Taxonomy Sheet'!$A$3:$C$6,2,FALSE),"")</f>
        <v/>
      </c>
      <c r="L24" s="32">
        <f>IFERROR(VLOOKUP(F24,'Taxonomy Sheet'!$E$3:$F$5,2,FALSE),"")</f>
        <v>2</v>
      </c>
      <c r="M24" s="32" t="str">
        <f t="shared" si="0"/>
        <v/>
      </c>
    </row>
    <row r="25" spans="1:13" ht="14.25" customHeight="1" x14ac:dyDescent="0.35">
      <c r="A25" s="2" t="s">
        <v>53</v>
      </c>
      <c r="B25" s="2" t="s">
        <v>14</v>
      </c>
      <c r="C25" s="2" t="s">
        <v>47</v>
      </c>
      <c r="D25" s="2" t="s">
        <v>54</v>
      </c>
      <c r="E25" s="2" t="s">
        <v>55</v>
      </c>
      <c r="F25" s="36" t="s">
        <v>18</v>
      </c>
      <c r="K25" s="32" t="str">
        <f>IFERROR(VLOOKUP(G25,'Taxonomy Sheet'!$A$3:$C$6,2,FALSE),"")</f>
        <v/>
      </c>
      <c r="L25" s="32">
        <f>IFERROR(VLOOKUP(F25,'Taxonomy Sheet'!$E$3:$F$5,2,FALSE),"")</f>
        <v>2</v>
      </c>
      <c r="M25" s="32" t="str">
        <f t="shared" si="0"/>
        <v/>
      </c>
    </row>
    <row r="26" spans="1:13" ht="14.25" customHeight="1" x14ac:dyDescent="0.35">
      <c r="A26" s="2" t="s">
        <v>56</v>
      </c>
      <c r="B26" s="2" t="s">
        <v>14</v>
      </c>
      <c r="C26" s="2" t="s">
        <v>47</v>
      </c>
      <c r="D26" s="2" t="s">
        <v>57</v>
      </c>
      <c r="E26" s="2" t="s">
        <v>58</v>
      </c>
      <c r="F26" s="36" t="s">
        <v>18</v>
      </c>
      <c r="K26" s="32" t="str">
        <f>IFERROR(VLOOKUP(G26,'Taxonomy Sheet'!$A$3:$C$6,2,FALSE),"")</f>
        <v/>
      </c>
      <c r="L26" s="32">
        <f>IFERROR(VLOOKUP(F26,'Taxonomy Sheet'!$E$3:$F$5,2,FALSE),"")</f>
        <v>2</v>
      </c>
      <c r="M26" s="32" t="str">
        <f t="shared" si="0"/>
        <v/>
      </c>
    </row>
    <row r="27" spans="1:13" ht="14.25" customHeight="1" x14ac:dyDescent="0.35">
      <c r="A27" s="2" t="s">
        <v>59</v>
      </c>
      <c r="B27" s="2" t="s">
        <v>14</v>
      </c>
      <c r="C27" s="2" t="s">
        <v>47</v>
      </c>
      <c r="D27" s="2" t="s">
        <v>60</v>
      </c>
      <c r="E27" s="2" t="s">
        <v>61</v>
      </c>
      <c r="F27" s="36" t="s">
        <v>18</v>
      </c>
      <c r="K27" s="32" t="str">
        <f>IFERROR(VLOOKUP(G27,'Taxonomy Sheet'!$A$3:$C$6,2,FALSE),"")</f>
        <v/>
      </c>
      <c r="L27" s="32">
        <f>IFERROR(VLOOKUP(F27,'Taxonomy Sheet'!$E$3:$F$5,2,FALSE),"")</f>
        <v>2</v>
      </c>
      <c r="M27" s="32" t="str">
        <f t="shared" si="0"/>
        <v/>
      </c>
    </row>
    <row r="28" spans="1:13" ht="14.25" customHeight="1" x14ac:dyDescent="0.35">
      <c r="A28" s="2" t="s">
        <v>62</v>
      </c>
      <c r="B28" s="2" t="s">
        <v>14</v>
      </c>
      <c r="C28" s="2" t="s">
        <v>47</v>
      </c>
      <c r="D28" s="2" t="s">
        <v>63</v>
      </c>
      <c r="E28" s="2" t="s">
        <v>64</v>
      </c>
      <c r="F28" s="36" t="s">
        <v>18</v>
      </c>
      <c r="K28" s="32" t="str">
        <f>IFERROR(VLOOKUP(G28,'Taxonomy Sheet'!$A$3:$C$6,2,FALSE),"")</f>
        <v/>
      </c>
      <c r="L28" s="32">
        <f>IFERROR(VLOOKUP(F28,'Taxonomy Sheet'!$E$3:$F$5,2,FALSE),"")</f>
        <v>2</v>
      </c>
      <c r="M28" s="32" t="str">
        <f t="shared" si="0"/>
        <v/>
      </c>
    </row>
    <row r="29" spans="1:13" ht="14.25" customHeight="1" x14ac:dyDescent="0.35">
      <c r="A29" s="2" t="s">
        <v>65</v>
      </c>
      <c r="B29" s="2" t="s">
        <v>14</v>
      </c>
      <c r="C29" s="2" t="s">
        <v>47</v>
      </c>
      <c r="D29" s="2" t="s">
        <v>66</v>
      </c>
      <c r="E29" s="2" t="s">
        <v>67</v>
      </c>
      <c r="F29" s="36" t="s">
        <v>18</v>
      </c>
      <c r="K29" s="32" t="str">
        <f>IFERROR(VLOOKUP(G29,'Taxonomy Sheet'!$A$3:$C$6,2,FALSE),"")</f>
        <v/>
      </c>
      <c r="L29" s="32">
        <f>IFERROR(VLOOKUP(F29,'Taxonomy Sheet'!$E$3:$F$5,2,FALSE),"")</f>
        <v>2</v>
      </c>
      <c r="M29" s="32" t="str">
        <f t="shared" si="0"/>
        <v/>
      </c>
    </row>
    <row r="30" spans="1:13" ht="14.25" customHeight="1" x14ac:dyDescent="0.35">
      <c r="A30" s="2" t="s">
        <v>68</v>
      </c>
      <c r="B30" s="2" t="s">
        <v>14</v>
      </c>
      <c r="C30" s="2" t="s">
        <v>47</v>
      </c>
      <c r="D30" s="2" t="s">
        <v>69</v>
      </c>
      <c r="E30" s="2" t="s">
        <v>70</v>
      </c>
      <c r="F30" s="36" t="s">
        <v>18</v>
      </c>
      <c r="K30" s="32" t="str">
        <f>IFERROR(VLOOKUP(G30,'Taxonomy Sheet'!$A$3:$C$6,2,FALSE),"")</f>
        <v/>
      </c>
      <c r="L30" s="32">
        <f>IFERROR(VLOOKUP(F30,'Taxonomy Sheet'!$E$3:$F$5,2,FALSE),"")</f>
        <v>2</v>
      </c>
      <c r="M30" s="32" t="str">
        <f t="shared" si="0"/>
        <v/>
      </c>
    </row>
    <row r="31" spans="1:13" ht="14.25" customHeight="1" x14ac:dyDescent="0.35">
      <c r="A31" s="2" t="s">
        <v>71</v>
      </c>
      <c r="B31" s="2" t="s">
        <v>14</v>
      </c>
      <c r="C31" s="2" t="s">
        <v>47</v>
      </c>
      <c r="D31" s="2" t="s">
        <v>72</v>
      </c>
      <c r="E31" s="2" t="s">
        <v>73</v>
      </c>
      <c r="F31" s="36" t="s">
        <v>18</v>
      </c>
      <c r="K31" s="32" t="str">
        <f>IFERROR(VLOOKUP(G31,'Taxonomy Sheet'!$A$3:$C$6,2,FALSE),"")</f>
        <v/>
      </c>
      <c r="L31" s="32">
        <f>IFERROR(VLOOKUP(F31,'Taxonomy Sheet'!$E$3:$F$5,2,FALSE),"")</f>
        <v>2</v>
      </c>
      <c r="M31" s="32" t="str">
        <f t="shared" si="0"/>
        <v/>
      </c>
    </row>
    <row r="32" spans="1:13" ht="14.25" customHeight="1" x14ac:dyDescent="0.35">
      <c r="A32" s="2" t="s">
        <v>74</v>
      </c>
      <c r="B32" s="2" t="s">
        <v>14</v>
      </c>
      <c r="C32" s="2" t="s">
        <v>75</v>
      </c>
      <c r="D32" s="2" t="s">
        <v>76</v>
      </c>
      <c r="E32" s="2" t="s">
        <v>77</v>
      </c>
      <c r="F32" s="36" t="s">
        <v>18</v>
      </c>
      <c r="K32" s="32" t="str">
        <f>IFERROR(VLOOKUP(G32,'Taxonomy Sheet'!$A$3:$C$6,2,FALSE),"")</f>
        <v/>
      </c>
      <c r="L32" s="32">
        <f>IFERROR(VLOOKUP(F32,'Taxonomy Sheet'!$E$3:$F$5,2,FALSE),"")</f>
        <v>2</v>
      </c>
      <c r="M32" s="32" t="str">
        <f t="shared" si="0"/>
        <v/>
      </c>
    </row>
    <row r="33" spans="1:13" ht="14.25" customHeight="1" x14ac:dyDescent="0.35">
      <c r="A33" s="2" t="s">
        <v>78</v>
      </c>
      <c r="B33" s="2" t="s">
        <v>14</v>
      </c>
      <c r="C33" s="2" t="s">
        <v>75</v>
      </c>
      <c r="D33" s="2" t="s">
        <v>79</v>
      </c>
      <c r="E33" s="2" t="s">
        <v>80</v>
      </c>
      <c r="F33" s="36" t="s">
        <v>18</v>
      </c>
      <c r="K33" s="32" t="str">
        <f>IFERROR(VLOOKUP(G33,'Taxonomy Sheet'!$A$3:$C$6,2,FALSE),"")</f>
        <v/>
      </c>
      <c r="L33" s="32">
        <f>IFERROR(VLOOKUP(F33,'Taxonomy Sheet'!$E$3:$F$5,2,FALSE),"")</f>
        <v>2</v>
      </c>
      <c r="M33" s="32" t="str">
        <f t="shared" si="0"/>
        <v/>
      </c>
    </row>
    <row r="34" spans="1:13" ht="14.25" customHeight="1" x14ac:dyDescent="0.35">
      <c r="A34" s="2" t="s">
        <v>81</v>
      </c>
      <c r="B34" s="2" t="s">
        <v>14</v>
      </c>
      <c r="C34" s="2" t="s">
        <v>75</v>
      </c>
      <c r="D34" s="2" t="s">
        <v>82</v>
      </c>
      <c r="E34" s="2" t="s">
        <v>83</v>
      </c>
      <c r="F34" s="36" t="s">
        <v>18</v>
      </c>
      <c r="K34" s="32" t="str">
        <f>IFERROR(VLOOKUP(G34,'Taxonomy Sheet'!$A$3:$C$6,2,FALSE),"")</f>
        <v/>
      </c>
      <c r="L34" s="32">
        <f>IFERROR(VLOOKUP(F34,'Taxonomy Sheet'!$E$3:$F$5,2,FALSE),"")</f>
        <v>2</v>
      </c>
      <c r="M34" s="32" t="str">
        <f t="shared" si="0"/>
        <v/>
      </c>
    </row>
    <row r="35" spans="1:13" ht="14.25" customHeight="1" x14ac:dyDescent="0.35">
      <c r="A35" s="2" t="s">
        <v>84</v>
      </c>
      <c r="B35" s="2" t="s">
        <v>14</v>
      </c>
      <c r="C35" s="2" t="s">
        <v>75</v>
      </c>
      <c r="D35" s="2" t="s">
        <v>85</v>
      </c>
      <c r="E35" s="2" t="s">
        <v>86</v>
      </c>
      <c r="F35" s="36" t="s">
        <v>18</v>
      </c>
      <c r="K35" s="32" t="str">
        <f>IFERROR(VLOOKUP(G35,'Taxonomy Sheet'!$A$3:$C$6,2,FALSE),"")</f>
        <v/>
      </c>
      <c r="L35" s="32">
        <f>IFERROR(VLOOKUP(F35,'Taxonomy Sheet'!$E$3:$F$5,2,FALSE),"")</f>
        <v>2</v>
      </c>
      <c r="M35" s="32" t="str">
        <f t="shared" si="0"/>
        <v/>
      </c>
    </row>
    <row r="36" spans="1:13" ht="14.25" customHeight="1" x14ac:dyDescent="0.35">
      <c r="A36" s="2" t="s">
        <v>87</v>
      </c>
      <c r="B36" s="2" t="s">
        <v>14</v>
      </c>
      <c r="C36" s="2" t="s">
        <v>75</v>
      </c>
      <c r="D36" s="2" t="s">
        <v>88</v>
      </c>
      <c r="E36" s="2" t="s">
        <v>89</v>
      </c>
      <c r="F36" s="36" t="s">
        <v>18</v>
      </c>
      <c r="K36" s="32" t="str">
        <f>IFERROR(VLOOKUP(G36,'Taxonomy Sheet'!$A$3:$C$6,2,FALSE),"")</f>
        <v/>
      </c>
      <c r="L36" s="32">
        <f>IFERROR(VLOOKUP(F36,'Taxonomy Sheet'!$E$3:$F$5,2,FALSE),"")</f>
        <v>2</v>
      </c>
      <c r="M36" s="32" t="str">
        <f t="shared" si="0"/>
        <v/>
      </c>
    </row>
    <row r="37" spans="1:13" ht="14.25" customHeight="1" x14ac:dyDescent="0.35">
      <c r="A37" s="2" t="s">
        <v>90</v>
      </c>
      <c r="B37" s="2" t="s">
        <v>14</v>
      </c>
      <c r="C37" s="2" t="s">
        <v>75</v>
      </c>
      <c r="D37" s="2" t="s">
        <v>91</v>
      </c>
      <c r="E37" s="2" t="s">
        <v>92</v>
      </c>
      <c r="F37" s="36" t="s">
        <v>18</v>
      </c>
      <c r="K37" s="32" t="str">
        <f>IFERROR(VLOOKUP(G37,'Taxonomy Sheet'!$A$3:$C$6,2,FALSE),"")</f>
        <v/>
      </c>
      <c r="L37" s="32">
        <f>IFERROR(VLOOKUP(F37,'Taxonomy Sheet'!$E$3:$F$5,2,FALSE),"")</f>
        <v>2</v>
      </c>
      <c r="M37" s="32" t="str">
        <f t="shared" si="0"/>
        <v/>
      </c>
    </row>
    <row r="38" spans="1:13" ht="14.25" customHeight="1" x14ac:dyDescent="0.35">
      <c r="A38" s="2" t="s">
        <v>93</v>
      </c>
      <c r="B38" s="2" t="s">
        <v>14</v>
      </c>
      <c r="C38" s="2" t="s">
        <v>75</v>
      </c>
      <c r="D38" s="2" t="s">
        <v>94</v>
      </c>
      <c r="E38" s="2" t="s">
        <v>95</v>
      </c>
      <c r="F38" s="36" t="s">
        <v>18</v>
      </c>
      <c r="K38" s="32" t="str">
        <f>IFERROR(VLOOKUP(G38,'Taxonomy Sheet'!$A$3:$C$6,2,FALSE),"")</f>
        <v/>
      </c>
      <c r="L38" s="32">
        <f>IFERROR(VLOOKUP(F38,'Taxonomy Sheet'!$E$3:$F$5,2,FALSE),"")</f>
        <v>2</v>
      </c>
      <c r="M38" s="32" t="str">
        <f t="shared" si="0"/>
        <v/>
      </c>
    </row>
    <row r="39" spans="1:13" ht="14.25" customHeight="1" x14ac:dyDescent="0.35">
      <c r="A39" s="2" t="s">
        <v>96</v>
      </c>
      <c r="B39" s="2" t="s">
        <v>14</v>
      </c>
      <c r="C39" s="2" t="s">
        <v>75</v>
      </c>
      <c r="D39" s="2" t="s">
        <v>97</v>
      </c>
      <c r="E39" s="2" t="s">
        <v>98</v>
      </c>
      <c r="F39" s="36" t="s">
        <v>18</v>
      </c>
      <c r="K39" s="32" t="str">
        <f>IFERROR(VLOOKUP(G39,'Taxonomy Sheet'!$A$3:$C$6,2,FALSE),"")</f>
        <v/>
      </c>
      <c r="L39" s="32">
        <f>IFERROR(VLOOKUP(F39,'Taxonomy Sheet'!$E$3:$F$5,2,FALSE),"")</f>
        <v>2</v>
      </c>
      <c r="M39" s="32" t="str">
        <f t="shared" si="0"/>
        <v/>
      </c>
    </row>
    <row r="40" spans="1:13" ht="14.25" customHeight="1" x14ac:dyDescent="0.35">
      <c r="A40" s="2" t="s">
        <v>99</v>
      </c>
      <c r="B40" s="2" t="s">
        <v>14</v>
      </c>
      <c r="C40" s="2" t="s">
        <v>100</v>
      </c>
      <c r="D40" s="2" t="s">
        <v>101</v>
      </c>
      <c r="E40" s="2" t="s">
        <v>102</v>
      </c>
      <c r="F40" s="36" t="s">
        <v>18</v>
      </c>
      <c r="K40" s="32" t="str">
        <f>IFERROR(VLOOKUP(G40,'Taxonomy Sheet'!$A$3:$C$6,2,FALSE),"")</f>
        <v/>
      </c>
      <c r="L40" s="32">
        <f>IFERROR(VLOOKUP(F40,'Taxonomy Sheet'!$E$3:$F$5,2,FALSE),"")</f>
        <v>2</v>
      </c>
      <c r="M40" s="32" t="str">
        <f t="shared" si="0"/>
        <v/>
      </c>
    </row>
    <row r="41" spans="1:13" ht="14.25" customHeight="1" x14ac:dyDescent="0.35">
      <c r="A41" s="2" t="s">
        <v>103</v>
      </c>
      <c r="B41" s="2" t="s">
        <v>14</v>
      </c>
      <c r="C41" s="2" t="s">
        <v>100</v>
      </c>
      <c r="D41" s="2" t="s">
        <v>104</v>
      </c>
      <c r="E41" s="2" t="s">
        <v>105</v>
      </c>
      <c r="F41" s="36" t="s">
        <v>18</v>
      </c>
      <c r="K41" s="32" t="str">
        <f>IFERROR(VLOOKUP(G41,'Taxonomy Sheet'!$A$3:$C$6,2,FALSE),"")</f>
        <v/>
      </c>
      <c r="L41" s="32">
        <f>IFERROR(VLOOKUP(F41,'Taxonomy Sheet'!$E$3:$F$5,2,FALSE),"")</f>
        <v>2</v>
      </c>
      <c r="M41" s="32" t="str">
        <f t="shared" si="0"/>
        <v/>
      </c>
    </row>
    <row r="42" spans="1:13" ht="14.25" customHeight="1" x14ac:dyDescent="0.35">
      <c r="A42" s="2" t="s">
        <v>106</v>
      </c>
      <c r="B42" s="2" t="s">
        <v>14</v>
      </c>
      <c r="C42" s="2" t="s">
        <v>100</v>
      </c>
      <c r="D42" s="2" t="s">
        <v>107</v>
      </c>
      <c r="E42" s="2" t="s">
        <v>108</v>
      </c>
      <c r="F42" s="36" t="s">
        <v>18</v>
      </c>
      <c r="K42" s="32" t="str">
        <f>IFERROR(VLOOKUP(G42,'Taxonomy Sheet'!$A$3:$C$6,2,FALSE),"")</f>
        <v/>
      </c>
      <c r="L42" s="32">
        <f>IFERROR(VLOOKUP(F42,'Taxonomy Sheet'!$E$3:$F$5,2,FALSE),"")</f>
        <v>2</v>
      </c>
      <c r="M42" s="32" t="str">
        <f t="shared" si="0"/>
        <v/>
      </c>
    </row>
    <row r="43" spans="1:13" ht="14.25" customHeight="1" x14ac:dyDescent="0.35">
      <c r="A43" s="2" t="s">
        <v>109</v>
      </c>
      <c r="B43" s="2" t="s">
        <v>14</v>
      </c>
      <c r="C43" s="2" t="s">
        <v>100</v>
      </c>
      <c r="D43" s="2" t="s">
        <v>110</v>
      </c>
      <c r="E43" s="2" t="s">
        <v>111</v>
      </c>
      <c r="F43" s="36" t="s">
        <v>18</v>
      </c>
      <c r="K43" s="32" t="str">
        <f>IFERROR(VLOOKUP(G43,'Taxonomy Sheet'!$A$3:$C$6,2,FALSE),"")</f>
        <v/>
      </c>
      <c r="L43" s="32">
        <f>IFERROR(VLOOKUP(F43,'Taxonomy Sheet'!$E$3:$F$5,2,FALSE),"")</f>
        <v>2</v>
      </c>
      <c r="M43" s="32" t="str">
        <f t="shared" si="0"/>
        <v/>
      </c>
    </row>
    <row r="44" spans="1:13" ht="14.25" customHeight="1" x14ac:dyDescent="0.35">
      <c r="A44" s="2" t="s">
        <v>112</v>
      </c>
      <c r="B44" s="2" t="s">
        <v>14</v>
      </c>
      <c r="C44" s="2" t="s">
        <v>100</v>
      </c>
      <c r="D44" s="2" t="s">
        <v>113</v>
      </c>
      <c r="E44" s="2" t="s">
        <v>114</v>
      </c>
      <c r="F44" s="36" t="s">
        <v>18</v>
      </c>
      <c r="K44" s="32" t="str">
        <f>IFERROR(VLOOKUP(G44,'Taxonomy Sheet'!$A$3:$C$6,2,FALSE),"")</f>
        <v/>
      </c>
      <c r="L44" s="32">
        <f>IFERROR(VLOOKUP(F44,'Taxonomy Sheet'!$E$3:$F$5,2,FALSE),"")</f>
        <v>2</v>
      </c>
      <c r="M44" s="32" t="str">
        <f t="shared" si="0"/>
        <v/>
      </c>
    </row>
    <row r="45" spans="1:13" ht="14.25" customHeight="1" x14ac:dyDescent="0.35">
      <c r="A45" s="2" t="s">
        <v>115</v>
      </c>
      <c r="B45" s="2" t="s">
        <v>14</v>
      </c>
      <c r="C45" s="2" t="s">
        <v>116</v>
      </c>
      <c r="D45" s="2" t="s">
        <v>117</v>
      </c>
      <c r="E45" s="2" t="s">
        <v>118</v>
      </c>
      <c r="F45" s="36" t="s">
        <v>119</v>
      </c>
      <c r="K45" s="32" t="str">
        <f>IFERROR(VLOOKUP(G45,'Taxonomy Sheet'!$A$3:$C$6,2,FALSE),"")</f>
        <v/>
      </c>
      <c r="L45" s="32">
        <f>IFERROR(VLOOKUP(F45,'Taxonomy Sheet'!$E$3:$F$5,2,FALSE),"")</f>
        <v>1.5</v>
      </c>
      <c r="M45" s="32" t="str">
        <f t="shared" si="0"/>
        <v/>
      </c>
    </row>
    <row r="46" spans="1:13" ht="14.25" customHeight="1" x14ac:dyDescent="0.35">
      <c r="A46" s="2" t="s">
        <v>120</v>
      </c>
      <c r="B46" s="2" t="s">
        <v>14</v>
      </c>
      <c r="C46" s="2" t="s">
        <v>116</v>
      </c>
      <c r="D46" s="2" t="s">
        <v>121</v>
      </c>
      <c r="E46" s="2" t="s">
        <v>122</v>
      </c>
      <c r="F46" s="36" t="s">
        <v>119</v>
      </c>
      <c r="K46" s="32" t="str">
        <f>IFERROR(VLOOKUP(G46,'Taxonomy Sheet'!$A$3:$C$6,2,FALSE),"")</f>
        <v/>
      </c>
      <c r="L46" s="32">
        <f>IFERROR(VLOOKUP(F46,'Taxonomy Sheet'!$E$3:$F$5,2,FALSE),"")</f>
        <v>1.5</v>
      </c>
      <c r="M46" s="32" t="str">
        <f t="shared" si="0"/>
        <v/>
      </c>
    </row>
    <row r="47" spans="1:13" ht="14.25" customHeight="1" x14ac:dyDescent="0.35">
      <c r="A47" s="2" t="s">
        <v>123</v>
      </c>
      <c r="B47" s="2" t="s">
        <v>14</v>
      </c>
      <c r="C47" s="2" t="s">
        <v>116</v>
      </c>
      <c r="D47" s="2" t="s">
        <v>124</v>
      </c>
      <c r="E47" s="2" t="s">
        <v>125</v>
      </c>
      <c r="F47" s="36" t="s">
        <v>119</v>
      </c>
      <c r="K47" s="32" t="str">
        <f>IFERROR(VLOOKUP(G47,'Taxonomy Sheet'!$A$3:$C$6,2,FALSE),"")</f>
        <v/>
      </c>
      <c r="L47" s="32">
        <f>IFERROR(VLOOKUP(F47,'Taxonomy Sheet'!$E$3:$F$5,2,FALSE),"")</f>
        <v>1.5</v>
      </c>
      <c r="M47" s="32" t="str">
        <f t="shared" si="0"/>
        <v/>
      </c>
    </row>
    <row r="48" spans="1:13" ht="14.25" customHeight="1" x14ac:dyDescent="0.35">
      <c r="A48" s="2" t="s">
        <v>126</v>
      </c>
      <c r="B48" s="2" t="s">
        <v>14</v>
      </c>
      <c r="C48" s="2" t="s">
        <v>116</v>
      </c>
      <c r="D48" s="2" t="s">
        <v>127</v>
      </c>
      <c r="E48" s="2" t="s">
        <v>128</v>
      </c>
      <c r="F48" s="36" t="s">
        <v>119</v>
      </c>
      <c r="K48" s="32" t="str">
        <f>IFERROR(VLOOKUP(G48,'Taxonomy Sheet'!$A$3:$C$6,2,FALSE),"")</f>
        <v/>
      </c>
      <c r="L48" s="32">
        <f>IFERROR(VLOOKUP(F48,'Taxonomy Sheet'!$E$3:$F$5,2,FALSE),"")</f>
        <v>1.5</v>
      </c>
      <c r="M48" s="32" t="str">
        <f t="shared" si="0"/>
        <v/>
      </c>
    </row>
    <row r="49" spans="1:13" ht="14.25" customHeight="1" x14ac:dyDescent="0.35">
      <c r="A49" s="2" t="s">
        <v>129</v>
      </c>
      <c r="B49" s="2" t="s">
        <v>14</v>
      </c>
      <c r="C49" s="2" t="s">
        <v>130</v>
      </c>
      <c r="D49" s="2" t="s">
        <v>131</v>
      </c>
      <c r="E49" s="2" t="s">
        <v>132</v>
      </c>
      <c r="F49" s="37" t="s">
        <v>18</v>
      </c>
      <c r="K49" s="32" t="str">
        <f>IFERROR(VLOOKUP(G49,'Taxonomy Sheet'!$A$3:$C$6,2,FALSE),"")</f>
        <v/>
      </c>
      <c r="L49" s="32">
        <f>IFERROR(VLOOKUP(F49,'Taxonomy Sheet'!$E$3:$F$5,2,FALSE),"")</f>
        <v>2</v>
      </c>
      <c r="M49" s="32" t="str">
        <f t="shared" si="0"/>
        <v/>
      </c>
    </row>
    <row r="50" spans="1:13" ht="14.25" customHeight="1" x14ac:dyDescent="0.35">
      <c r="A50" s="2" t="s">
        <v>133</v>
      </c>
      <c r="B50" s="2" t="s">
        <v>14</v>
      </c>
      <c r="C50" s="2" t="s">
        <v>130</v>
      </c>
      <c r="D50" s="2" t="s">
        <v>134</v>
      </c>
      <c r="E50" s="2" t="s">
        <v>135</v>
      </c>
      <c r="F50" s="37" t="s">
        <v>119</v>
      </c>
      <c r="K50" s="32" t="str">
        <f>IFERROR(VLOOKUP(G50,'Taxonomy Sheet'!$A$3:$C$6,2,FALSE),"")</f>
        <v/>
      </c>
      <c r="L50" s="32">
        <f>IFERROR(VLOOKUP(F50,'Taxonomy Sheet'!$E$3:$F$5,2,FALSE),"")</f>
        <v>1.5</v>
      </c>
      <c r="M50" s="32" t="str">
        <f t="shared" si="0"/>
        <v/>
      </c>
    </row>
    <row r="51" spans="1:13" ht="14.25" customHeight="1" x14ac:dyDescent="0.35">
      <c r="A51" s="2" t="s">
        <v>136</v>
      </c>
      <c r="B51" s="2" t="s">
        <v>14</v>
      </c>
      <c r="C51" s="2" t="s">
        <v>130</v>
      </c>
      <c r="D51" s="2" t="s">
        <v>137</v>
      </c>
      <c r="E51" s="2" t="s">
        <v>138</v>
      </c>
      <c r="F51" s="37" t="s">
        <v>119</v>
      </c>
      <c r="K51" s="32" t="str">
        <f>IFERROR(VLOOKUP(G51,'Taxonomy Sheet'!$A$3:$C$6,2,FALSE),"")</f>
        <v/>
      </c>
      <c r="L51" s="32">
        <f>IFERROR(VLOOKUP(F51,'Taxonomy Sheet'!$E$3:$F$5,2,FALSE),"")</f>
        <v>1.5</v>
      </c>
      <c r="M51" s="32" t="str">
        <f t="shared" si="0"/>
        <v/>
      </c>
    </row>
    <row r="52" spans="1:13" ht="14.25" customHeight="1" x14ac:dyDescent="0.35">
      <c r="A52" s="2" t="s">
        <v>139</v>
      </c>
      <c r="B52" s="2" t="s">
        <v>14</v>
      </c>
      <c r="C52" s="2" t="s">
        <v>130</v>
      </c>
      <c r="D52" s="2" t="s">
        <v>140</v>
      </c>
      <c r="E52" s="2" t="s">
        <v>141</v>
      </c>
      <c r="F52" s="37" t="s">
        <v>18</v>
      </c>
      <c r="K52" s="32" t="str">
        <f>IFERROR(VLOOKUP(G52,'Taxonomy Sheet'!$A$3:$C$6,2,FALSE),"")</f>
        <v/>
      </c>
      <c r="L52" s="32">
        <f>IFERROR(VLOOKUP(F52,'Taxonomy Sheet'!$E$3:$F$5,2,FALSE),"")</f>
        <v>2</v>
      </c>
      <c r="M52" s="32" t="str">
        <f t="shared" si="0"/>
        <v/>
      </c>
    </row>
    <row r="53" spans="1:13" ht="14.25" customHeight="1" x14ac:dyDescent="0.35">
      <c r="A53" s="2" t="s">
        <v>142</v>
      </c>
      <c r="B53" s="2" t="s">
        <v>14</v>
      </c>
      <c r="C53" s="2" t="s">
        <v>143</v>
      </c>
      <c r="D53" s="2" t="s">
        <v>144</v>
      </c>
      <c r="E53" s="2" t="s">
        <v>145</v>
      </c>
      <c r="F53" s="36" t="s">
        <v>18</v>
      </c>
      <c r="K53" s="32" t="str">
        <f>IFERROR(VLOOKUP(G53,'Taxonomy Sheet'!$A$3:$C$6,2,FALSE),"")</f>
        <v/>
      </c>
      <c r="L53" s="32">
        <f>IFERROR(VLOOKUP(F53,'Taxonomy Sheet'!$E$3:$F$5,2,FALSE),"")</f>
        <v>2</v>
      </c>
      <c r="M53" s="32" t="str">
        <f t="shared" si="0"/>
        <v/>
      </c>
    </row>
    <row r="54" spans="1:13" ht="14.25" customHeight="1" x14ac:dyDescent="0.35">
      <c r="A54" s="2" t="s">
        <v>146</v>
      </c>
      <c r="B54" s="2" t="s">
        <v>14</v>
      </c>
      <c r="C54" s="2" t="s">
        <v>143</v>
      </c>
      <c r="D54" s="2" t="s">
        <v>147</v>
      </c>
      <c r="E54" s="2" t="s">
        <v>148</v>
      </c>
      <c r="F54" s="36" t="s">
        <v>18</v>
      </c>
      <c r="K54" s="32" t="str">
        <f>IFERROR(VLOOKUP(G54,'Taxonomy Sheet'!$A$3:$C$6,2,FALSE),"")</f>
        <v/>
      </c>
      <c r="L54" s="32">
        <f>IFERROR(VLOOKUP(F54,'Taxonomy Sheet'!$E$3:$F$5,2,FALSE),"")</f>
        <v>2</v>
      </c>
      <c r="M54" s="32" t="str">
        <f t="shared" si="0"/>
        <v/>
      </c>
    </row>
    <row r="55" spans="1:13" ht="14.25" customHeight="1" x14ac:dyDescent="0.35">
      <c r="A55" s="2" t="s">
        <v>149</v>
      </c>
      <c r="B55" s="2" t="s">
        <v>14</v>
      </c>
      <c r="C55" s="2" t="s">
        <v>143</v>
      </c>
      <c r="D55" s="2" t="s">
        <v>150</v>
      </c>
      <c r="E55" s="2" t="s">
        <v>151</v>
      </c>
      <c r="F55" s="36" t="s">
        <v>18</v>
      </c>
      <c r="K55" s="32" t="str">
        <f>IFERROR(VLOOKUP(G55,'Taxonomy Sheet'!$A$3:$C$6,2,FALSE),"")</f>
        <v/>
      </c>
      <c r="L55" s="32">
        <f>IFERROR(VLOOKUP(F55,'Taxonomy Sheet'!$E$3:$F$5,2,FALSE),"")</f>
        <v>2</v>
      </c>
      <c r="M55" s="32" t="str">
        <f t="shared" si="0"/>
        <v/>
      </c>
    </row>
    <row r="56" spans="1:13" ht="14.25" customHeight="1" x14ac:dyDescent="0.35">
      <c r="A56" s="2" t="s">
        <v>152</v>
      </c>
      <c r="B56" s="2" t="s">
        <v>14</v>
      </c>
      <c r="C56" s="2" t="s">
        <v>143</v>
      </c>
      <c r="D56" s="2" t="s">
        <v>153</v>
      </c>
      <c r="E56" s="2" t="s">
        <v>154</v>
      </c>
      <c r="F56" s="36" t="s">
        <v>18</v>
      </c>
      <c r="K56" s="32" t="str">
        <f>IFERROR(VLOOKUP(G56,'Taxonomy Sheet'!$A$3:$C$6,2,FALSE),"")</f>
        <v/>
      </c>
      <c r="L56" s="32">
        <f>IFERROR(VLOOKUP(F56,'Taxonomy Sheet'!$E$3:$F$5,2,FALSE),"")</f>
        <v>2</v>
      </c>
      <c r="M56" s="32" t="str">
        <f t="shared" si="0"/>
        <v/>
      </c>
    </row>
    <row r="57" spans="1:13" ht="14.25" customHeight="1" x14ac:dyDescent="0.35">
      <c r="A57" s="2" t="s">
        <v>155</v>
      </c>
      <c r="B57" s="2" t="s">
        <v>14</v>
      </c>
      <c r="C57" s="2" t="s">
        <v>143</v>
      </c>
      <c r="D57" s="2" t="s">
        <v>156</v>
      </c>
      <c r="E57" s="2" t="s">
        <v>157</v>
      </c>
      <c r="F57" s="36" t="s">
        <v>18</v>
      </c>
      <c r="K57" s="32" t="str">
        <f>IFERROR(VLOOKUP(G57,'Taxonomy Sheet'!$A$3:$C$6,2,FALSE),"")</f>
        <v/>
      </c>
      <c r="L57" s="32">
        <f>IFERROR(VLOOKUP(F57,'Taxonomy Sheet'!$E$3:$F$5,2,FALSE),"")</f>
        <v>2</v>
      </c>
      <c r="M57" s="32" t="str">
        <f t="shared" si="0"/>
        <v/>
      </c>
    </row>
    <row r="58" spans="1:13" ht="14.25" customHeight="1" x14ac:dyDescent="0.35">
      <c r="A58" s="2" t="s">
        <v>158</v>
      </c>
      <c r="B58" s="2" t="s">
        <v>14</v>
      </c>
      <c r="C58" s="2" t="s">
        <v>143</v>
      </c>
      <c r="D58" s="2" t="s">
        <v>159</v>
      </c>
      <c r="E58" s="2" t="s">
        <v>160</v>
      </c>
      <c r="F58" s="36" t="s">
        <v>18</v>
      </c>
      <c r="K58" s="32" t="str">
        <f>IFERROR(VLOOKUP(G58,'Taxonomy Sheet'!$A$3:$C$6,2,FALSE),"")</f>
        <v/>
      </c>
      <c r="L58" s="32">
        <f>IFERROR(VLOOKUP(F58,'Taxonomy Sheet'!$E$3:$F$5,2,FALSE),"")</f>
        <v>2</v>
      </c>
      <c r="M58" s="32" t="str">
        <f t="shared" si="0"/>
        <v/>
      </c>
    </row>
    <row r="59" spans="1:13" ht="14.25" customHeight="1" x14ac:dyDescent="0.35">
      <c r="A59" s="2" t="s">
        <v>161</v>
      </c>
      <c r="B59" s="2" t="s">
        <v>14</v>
      </c>
      <c r="C59" s="2" t="s">
        <v>162</v>
      </c>
      <c r="D59" s="2" t="s">
        <v>163</v>
      </c>
      <c r="E59" s="2" t="s">
        <v>164</v>
      </c>
      <c r="F59" s="37" t="s">
        <v>165</v>
      </c>
      <c r="K59" s="32" t="str">
        <f>IFERROR(VLOOKUP(G59,'Taxonomy Sheet'!$A$3:$C$6,2,FALSE),"")</f>
        <v/>
      </c>
      <c r="L59" s="32">
        <f>IFERROR(VLOOKUP(F59,'Taxonomy Sheet'!$E$3:$F$5,2,FALSE),"")</f>
        <v>1</v>
      </c>
      <c r="M59" s="32" t="str">
        <f t="shared" si="0"/>
        <v/>
      </c>
    </row>
    <row r="60" spans="1:13" ht="14.25" customHeight="1" x14ac:dyDescent="0.35">
      <c r="A60" s="2" t="s">
        <v>166</v>
      </c>
      <c r="B60" s="2" t="s">
        <v>14</v>
      </c>
      <c r="C60" s="2" t="s">
        <v>162</v>
      </c>
      <c r="D60" s="2" t="s">
        <v>167</v>
      </c>
      <c r="E60" s="2" t="s">
        <v>168</v>
      </c>
      <c r="F60" s="37" t="s">
        <v>18</v>
      </c>
      <c r="K60" s="32" t="str">
        <f>IFERROR(VLOOKUP(G60,'Taxonomy Sheet'!$A$3:$C$6,2,FALSE),"")</f>
        <v/>
      </c>
      <c r="L60" s="32">
        <f>IFERROR(VLOOKUP(F60,'Taxonomy Sheet'!$E$3:$F$5,2,FALSE),"")</f>
        <v>2</v>
      </c>
      <c r="M60" s="32" t="str">
        <f t="shared" si="0"/>
        <v/>
      </c>
    </row>
    <row r="61" spans="1:13" ht="14.25" customHeight="1" x14ac:dyDescent="0.35">
      <c r="A61" s="2" t="s">
        <v>169</v>
      </c>
      <c r="B61" s="2" t="s">
        <v>14</v>
      </c>
      <c r="C61" s="2" t="s">
        <v>162</v>
      </c>
      <c r="D61" s="2" t="s">
        <v>170</v>
      </c>
      <c r="E61" s="2" t="s">
        <v>171</v>
      </c>
      <c r="F61" s="37" t="s">
        <v>18</v>
      </c>
      <c r="K61" s="32" t="str">
        <f>IFERROR(VLOOKUP(G61,'Taxonomy Sheet'!$A$3:$C$6,2,FALSE),"")</f>
        <v/>
      </c>
      <c r="L61" s="32">
        <f>IFERROR(VLOOKUP(F61,'Taxonomy Sheet'!$E$3:$F$5,2,FALSE),"")</f>
        <v>2</v>
      </c>
      <c r="M61" s="32" t="str">
        <f t="shared" si="0"/>
        <v/>
      </c>
    </row>
    <row r="62" spans="1:13" ht="14.25" customHeight="1" x14ac:dyDescent="0.35">
      <c r="A62" s="2" t="s">
        <v>172</v>
      </c>
      <c r="B62" s="2" t="s">
        <v>14</v>
      </c>
      <c r="C62" s="2" t="s">
        <v>162</v>
      </c>
      <c r="D62" s="2" t="s">
        <v>173</v>
      </c>
      <c r="E62" s="2" t="s">
        <v>174</v>
      </c>
      <c r="F62" s="37" t="s">
        <v>165</v>
      </c>
      <c r="K62" s="32" t="str">
        <f>IFERROR(VLOOKUP(G62,'Taxonomy Sheet'!$A$3:$C$6,2,FALSE),"")</f>
        <v/>
      </c>
      <c r="L62" s="32">
        <f>IFERROR(VLOOKUP(F62,'Taxonomy Sheet'!$E$3:$F$5,2,FALSE),"")</f>
        <v>1</v>
      </c>
      <c r="M62" s="32" t="str">
        <f t="shared" si="0"/>
        <v/>
      </c>
    </row>
    <row r="63" spans="1:13" ht="14.25" customHeight="1" x14ac:dyDescent="0.35">
      <c r="A63" s="2" t="s">
        <v>175</v>
      </c>
      <c r="B63" s="2" t="s">
        <v>14</v>
      </c>
      <c r="C63" s="2" t="s">
        <v>162</v>
      </c>
      <c r="D63" s="2" t="s">
        <v>176</v>
      </c>
      <c r="E63" s="2" t="s">
        <v>177</v>
      </c>
      <c r="F63" s="37" t="s">
        <v>119</v>
      </c>
      <c r="K63" s="32" t="str">
        <f>IFERROR(VLOOKUP(G63,'Taxonomy Sheet'!$A$3:$C$6,2,FALSE),"")</f>
        <v/>
      </c>
      <c r="L63" s="32">
        <f>IFERROR(VLOOKUP(F63,'Taxonomy Sheet'!$E$3:$F$5,2,FALSE),"")</f>
        <v>1.5</v>
      </c>
      <c r="M63" s="32" t="str">
        <f t="shared" si="0"/>
        <v/>
      </c>
    </row>
    <row r="64" spans="1:13" ht="14.25" customHeight="1" x14ac:dyDescent="0.35">
      <c r="A64" s="2" t="s">
        <v>178</v>
      </c>
      <c r="B64" s="2" t="s">
        <v>14</v>
      </c>
      <c r="C64" s="2" t="s">
        <v>162</v>
      </c>
      <c r="D64" s="2" t="s">
        <v>179</v>
      </c>
      <c r="E64" s="2" t="s">
        <v>180</v>
      </c>
      <c r="F64" s="37" t="s">
        <v>165</v>
      </c>
      <c r="K64" s="32" t="str">
        <f>IFERROR(VLOOKUP(G64,'Taxonomy Sheet'!$A$3:$C$6,2,FALSE),"")</f>
        <v/>
      </c>
      <c r="L64" s="32">
        <f>IFERROR(VLOOKUP(F64,'Taxonomy Sheet'!$E$3:$F$5,2,FALSE),"")</f>
        <v>1</v>
      </c>
      <c r="M64" s="32" t="str">
        <f t="shared" si="0"/>
        <v/>
      </c>
    </row>
    <row r="65" spans="1:13" ht="14.25" customHeight="1" x14ac:dyDescent="0.35">
      <c r="A65" s="2" t="s">
        <v>181</v>
      </c>
      <c r="B65" s="2" t="s">
        <v>14</v>
      </c>
      <c r="C65" s="2" t="s">
        <v>182</v>
      </c>
      <c r="D65" s="2" t="s">
        <v>183</v>
      </c>
      <c r="E65"/>
      <c r="F65" s="37" t="s">
        <v>119</v>
      </c>
      <c r="K65" s="32" t="str">
        <f>IFERROR(VLOOKUP(G65,'Taxonomy Sheet'!$A$3:$C$6,2,FALSE),"")</f>
        <v/>
      </c>
      <c r="L65" s="32">
        <f>IFERROR(VLOOKUP(F65,'Taxonomy Sheet'!$E$3:$F$5,2,FALSE),"")</f>
        <v>1.5</v>
      </c>
      <c r="M65" s="32" t="str">
        <f t="shared" si="0"/>
        <v/>
      </c>
    </row>
    <row r="66" spans="1:13" ht="14.25" customHeight="1" x14ac:dyDescent="0.35">
      <c r="A66" s="2" t="s">
        <v>184</v>
      </c>
      <c r="B66" s="2" t="s">
        <v>14</v>
      </c>
      <c r="C66" s="2" t="s">
        <v>182</v>
      </c>
      <c r="D66" s="2" t="s">
        <v>185</v>
      </c>
      <c r="E66" s="2" t="s">
        <v>186</v>
      </c>
      <c r="F66" s="37" t="s">
        <v>119</v>
      </c>
      <c r="K66" s="32" t="str">
        <f>IFERROR(VLOOKUP(G66,'Taxonomy Sheet'!$A$3:$C$6,2,FALSE),"")</f>
        <v/>
      </c>
      <c r="L66" s="32">
        <f>IFERROR(VLOOKUP(F66,'Taxonomy Sheet'!$E$3:$F$5,2,FALSE),"")</f>
        <v>1.5</v>
      </c>
      <c r="M66" s="32" t="str">
        <f t="shared" si="0"/>
        <v/>
      </c>
    </row>
    <row r="67" spans="1:13" ht="14.25" customHeight="1" x14ac:dyDescent="0.35">
      <c r="A67" s="2" t="s">
        <v>187</v>
      </c>
      <c r="B67" s="2" t="s">
        <v>14</v>
      </c>
      <c r="C67" s="2" t="s">
        <v>182</v>
      </c>
      <c r="D67" s="2" t="s">
        <v>188</v>
      </c>
      <c r="E67" s="2" t="s">
        <v>189</v>
      </c>
      <c r="F67" s="37" t="s">
        <v>119</v>
      </c>
      <c r="K67" s="32" t="str">
        <f>IFERROR(VLOOKUP(G67,'Taxonomy Sheet'!$A$3:$C$6,2,FALSE),"")</f>
        <v/>
      </c>
      <c r="L67" s="32">
        <f>IFERROR(VLOOKUP(F67,'Taxonomy Sheet'!$E$3:$F$5,2,FALSE),"")</f>
        <v>1.5</v>
      </c>
      <c r="M67" s="32" t="str">
        <f t="shared" si="0"/>
        <v/>
      </c>
    </row>
    <row r="68" spans="1:13" ht="14.25" customHeight="1" x14ac:dyDescent="0.35">
      <c r="A68" s="2" t="s">
        <v>190</v>
      </c>
      <c r="B68" s="2" t="s">
        <v>14</v>
      </c>
      <c r="C68" s="2" t="s">
        <v>182</v>
      </c>
      <c r="D68" s="2" t="s">
        <v>191</v>
      </c>
      <c r="E68" s="2" t="s">
        <v>192</v>
      </c>
      <c r="F68" s="37" t="s">
        <v>119</v>
      </c>
      <c r="K68" s="32" t="str">
        <f>IFERROR(VLOOKUP(G68,'Taxonomy Sheet'!$A$3:$C$6,2,FALSE),"")</f>
        <v/>
      </c>
      <c r="L68" s="32">
        <f>IFERROR(VLOOKUP(F68,'Taxonomy Sheet'!$E$3:$F$5,2,FALSE),"")</f>
        <v>1.5</v>
      </c>
      <c r="M68" s="32" t="str">
        <f t="shared" si="0"/>
        <v/>
      </c>
    </row>
    <row r="69" spans="1:13" ht="14.25" customHeight="1" x14ac:dyDescent="0.35">
      <c r="A69" s="2" t="s">
        <v>193</v>
      </c>
      <c r="B69" s="2" t="s">
        <v>14</v>
      </c>
      <c r="C69" s="2" t="s">
        <v>182</v>
      </c>
      <c r="D69" s="2" t="s">
        <v>194</v>
      </c>
      <c r="E69" s="2" t="s">
        <v>195</v>
      </c>
      <c r="F69" s="37" t="s">
        <v>119</v>
      </c>
      <c r="K69" s="32" t="str">
        <f>IFERROR(VLOOKUP(G69,'Taxonomy Sheet'!$A$3:$C$6,2,FALSE),"")</f>
        <v/>
      </c>
      <c r="L69" s="32">
        <f>IFERROR(VLOOKUP(F69,'Taxonomy Sheet'!$E$3:$F$5,2,FALSE),"")</f>
        <v>1.5</v>
      </c>
      <c r="M69" s="32" t="str">
        <f t="shared" si="0"/>
        <v/>
      </c>
    </row>
    <row r="70" spans="1:13" ht="14.25" customHeight="1" x14ac:dyDescent="0.35">
      <c r="A70" s="2" t="s">
        <v>196</v>
      </c>
      <c r="B70" s="2" t="s">
        <v>14</v>
      </c>
      <c r="C70" s="2" t="s">
        <v>182</v>
      </c>
      <c r="D70" s="2" t="s">
        <v>197</v>
      </c>
      <c r="E70" s="2" t="s">
        <v>198</v>
      </c>
      <c r="F70" s="37" t="s">
        <v>119</v>
      </c>
      <c r="K70" s="32" t="str">
        <f>IFERROR(VLOOKUP(G70,'Taxonomy Sheet'!$A$3:$C$6,2,FALSE),"")</f>
        <v/>
      </c>
      <c r="L70" s="32">
        <f>IFERROR(VLOOKUP(F70,'Taxonomy Sheet'!$E$3:$F$5,2,FALSE),"")</f>
        <v>1.5</v>
      </c>
      <c r="M70" s="32" t="str">
        <f t="shared" si="0"/>
        <v/>
      </c>
    </row>
    <row r="71" spans="1:13" ht="14.25" customHeight="1" x14ac:dyDescent="0.35">
      <c r="A71" s="2" t="s">
        <v>199</v>
      </c>
      <c r="B71" s="2" t="s">
        <v>14</v>
      </c>
      <c r="C71" s="2" t="s">
        <v>182</v>
      </c>
      <c r="D71" s="2" t="s">
        <v>200</v>
      </c>
      <c r="E71" s="2" t="s">
        <v>201</v>
      </c>
      <c r="F71" s="37" t="s">
        <v>119</v>
      </c>
      <c r="K71" s="32" t="str">
        <f>IFERROR(VLOOKUP(G71,'Taxonomy Sheet'!$A$3:$C$6,2,FALSE),"")</f>
        <v/>
      </c>
      <c r="L71" s="32">
        <f>IFERROR(VLOOKUP(F71,'Taxonomy Sheet'!$E$3:$F$5,2,FALSE),"")</f>
        <v>1.5</v>
      </c>
      <c r="M71" s="32" t="str">
        <f t="shared" si="0"/>
        <v/>
      </c>
    </row>
    <row r="72" spans="1:13" ht="14.25" customHeight="1" x14ac:dyDescent="0.35">
      <c r="A72" s="2" t="s">
        <v>202</v>
      </c>
      <c r="B72" s="2" t="s">
        <v>14</v>
      </c>
      <c r="C72" s="2" t="s">
        <v>203</v>
      </c>
      <c r="D72" s="2" t="s">
        <v>204</v>
      </c>
      <c r="E72" s="2" t="s">
        <v>205</v>
      </c>
      <c r="F72" s="36" t="s">
        <v>18</v>
      </c>
      <c r="K72" s="32" t="str">
        <f>IFERROR(VLOOKUP(G72,'Taxonomy Sheet'!$A$3:$C$6,2,FALSE),"")</f>
        <v/>
      </c>
      <c r="L72" s="32">
        <f>IFERROR(VLOOKUP(F72,'Taxonomy Sheet'!$E$3:$F$5,2,FALSE),"")</f>
        <v>2</v>
      </c>
      <c r="M72" s="32" t="str">
        <f t="shared" si="0"/>
        <v/>
      </c>
    </row>
    <row r="73" spans="1:13" ht="14.25" customHeight="1" x14ac:dyDescent="0.35">
      <c r="A73" s="2" t="s">
        <v>206</v>
      </c>
      <c r="B73" s="2" t="s">
        <v>14</v>
      </c>
      <c r="C73" s="2" t="s">
        <v>203</v>
      </c>
      <c r="D73" s="2" t="s">
        <v>29</v>
      </c>
      <c r="E73" s="2" t="s">
        <v>207</v>
      </c>
      <c r="F73" s="36" t="s">
        <v>119</v>
      </c>
      <c r="K73" s="32" t="str">
        <f>IFERROR(VLOOKUP(G73,'Taxonomy Sheet'!$A$3:$C$6,2,FALSE),"")</f>
        <v/>
      </c>
      <c r="L73" s="32">
        <f>IFERROR(VLOOKUP(F73,'Taxonomy Sheet'!$E$3:$F$5,2,FALSE),"")</f>
        <v>1.5</v>
      </c>
      <c r="M73" s="32" t="str">
        <f t="shared" si="0"/>
        <v/>
      </c>
    </row>
    <row r="74" spans="1:13" ht="14.25" customHeight="1" x14ac:dyDescent="0.35">
      <c r="A74" s="2" t="s">
        <v>208</v>
      </c>
      <c r="B74" s="2" t="s">
        <v>14</v>
      </c>
      <c r="C74" s="2" t="s">
        <v>203</v>
      </c>
      <c r="D74" s="2" t="s">
        <v>209</v>
      </c>
      <c r="E74" s="2" t="s">
        <v>210</v>
      </c>
      <c r="F74" s="36" t="s">
        <v>119</v>
      </c>
      <c r="K74" s="32" t="str">
        <f>IFERROR(VLOOKUP(G74,'Taxonomy Sheet'!$A$3:$C$6,2,FALSE),"")</f>
        <v/>
      </c>
      <c r="L74" s="32">
        <f>IFERROR(VLOOKUP(F74,'Taxonomy Sheet'!$E$3:$F$5,2,FALSE),"")</f>
        <v>1.5</v>
      </c>
      <c r="M74" s="32" t="str">
        <f t="shared" si="0"/>
        <v/>
      </c>
    </row>
    <row r="75" spans="1:13" ht="14.25" customHeight="1" x14ac:dyDescent="0.35">
      <c r="A75" s="2" t="s">
        <v>211</v>
      </c>
      <c r="B75" s="2" t="s">
        <v>14</v>
      </c>
      <c r="C75" s="2" t="s">
        <v>203</v>
      </c>
      <c r="D75" s="2" t="s">
        <v>212</v>
      </c>
      <c r="E75" s="2" t="s">
        <v>213</v>
      </c>
      <c r="F75" s="36" t="s">
        <v>119</v>
      </c>
      <c r="K75" s="32" t="str">
        <f>IFERROR(VLOOKUP(G75,'Taxonomy Sheet'!$A$3:$C$6,2,FALSE),"")</f>
        <v/>
      </c>
      <c r="L75" s="32">
        <f>IFERROR(VLOOKUP(F75,'Taxonomy Sheet'!$E$3:$F$5,2,FALSE),"")</f>
        <v>1.5</v>
      </c>
      <c r="M75" s="32" t="str">
        <f t="shared" si="0"/>
        <v/>
      </c>
    </row>
    <row r="76" spans="1:13" ht="14.25" customHeight="1" x14ac:dyDescent="0.35">
      <c r="A76" s="2" t="s">
        <v>214</v>
      </c>
      <c r="B76" s="2" t="s">
        <v>14</v>
      </c>
      <c r="C76" s="2" t="s">
        <v>203</v>
      </c>
      <c r="D76" s="2" t="s">
        <v>215</v>
      </c>
      <c r="E76" s="2" t="s">
        <v>216</v>
      </c>
      <c r="F76" s="36" t="s">
        <v>119</v>
      </c>
      <c r="K76" s="32" t="str">
        <f>IFERROR(VLOOKUP(G76,'Taxonomy Sheet'!$A$3:$C$6,2,FALSE),"")</f>
        <v/>
      </c>
      <c r="L76" s="32">
        <f>IFERROR(VLOOKUP(F76,'Taxonomy Sheet'!$E$3:$F$5,2,FALSE),"")</f>
        <v>1.5</v>
      </c>
      <c r="M76" s="32" t="str">
        <f t="shared" si="0"/>
        <v/>
      </c>
    </row>
    <row r="77" spans="1:13" ht="14.25" customHeight="1" x14ac:dyDescent="0.35">
      <c r="A77" s="2" t="s">
        <v>217</v>
      </c>
      <c r="B77" s="2" t="s">
        <v>14</v>
      </c>
      <c r="C77" s="2" t="s">
        <v>218</v>
      </c>
      <c r="D77" s="2" t="s">
        <v>219</v>
      </c>
      <c r="E77" s="2" t="s">
        <v>220</v>
      </c>
      <c r="F77" s="36" t="s">
        <v>18</v>
      </c>
      <c r="K77" s="32" t="str">
        <f>IFERROR(VLOOKUP(G77,'Taxonomy Sheet'!$A$3:$C$6,2,FALSE),"")</f>
        <v/>
      </c>
      <c r="L77" s="32">
        <f>IFERROR(VLOOKUP(F77,'Taxonomy Sheet'!$E$3:$F$5,2,FALSE),"")</f>
        <v>2</v>
      </c>
      <c r="M77" s="32" t="str">
        <f t="shared" ref="M77:M140" si="1">IF(OR(K77="",L77=""),"",K77*L77)</f>
        <v/>
      </c>
    </row>
    <row r="78" spans="1:13" ht="14.25" customHeight="1" x14ac:dyDescent="0.35">
      <c r="A78" s="2" t="s">
        <v>221</v>
      </c>
      <c r="B78" s="2" t="s">
        <v>14</v>
      </c>
      <c r="C78" s="2" t="s">
        <v>218</v>
      </c>
      <c r="D78" s="2" t="s">
        <v>222</v>
      </c>
      <c r="E78" s="2" t="s">
        <v>223</v>
      </c>
      <c r="F78" s="36" t="s">
        <v>18</v>
      </c>
      <c r="K78" s="32" t="str">
        <f>IFERROR(VLOOKUP(G78,'Taxonomy Sheet'!$A$3:$C$6,2,FALSE),"")</f>
        <v/>
      </c>
      <c r="L78" s="32">
        <f>IFERROR(VLOOKUP(F78,'Taxonomy Sheet'!$E$3:$F$5,2,FALSE),"")</f>
        <v>2</v>
      </c>
      <c r="M78" s="32" t="str">
        <f t="shared" si="1"/>
        <v/>
      </c>
    </row>
    <row r="79" spans="1:13" ht="14.25" customHeight="1" x14ac:dyDescent="0.35">
      <c r="A79" s="2" t="s">
        <v>224</v>
      </c>
      <c r="B79" s="2" t="s">
        <v>14</v>
      </c>
      <c r="C79" s="2" t="s">
        <v>218</v>
      </c>
      <c r="D79" s="2" t="s">
        <v>225</v>
      </c>
      <c r="E79" s="2" t="s">
        <v>226</v>
      </c>
      <c r="F79" s="36" t="s">
        <v>18</v>
      </c>
      <c r="K79" s="32" t="str">
        <f>IFERROR(VLOOKUP(G79,'Taxonomy Sheet'!$A$3:$C$6,2,FALSE),"")</f>
        <v/>
      </c>
      <c r="L79" s="32">
        <f>IFERROR(VLOOKUP(F79,'Taxonomy Sheet'!$E$3:$F$5,2,FALSE),"")</f>
        <v>2</v>
      </c>
      <c r="M79" s="32" t="str">
        <f t="shared" si="1"/>
        <v/>
      </c>
    </row>
    <row r="80" spans="1:13" ht="14.25" customHeight="1" x14ac:dyDescent="0.35">
      <c r="A80" s="2" t="s">
        <v>227</v>
      </c>
      <c r="B80" s="2" t="s">
        <v>14</v>
      </c>
      <c r="C80" s="2" t="s">
        <v>218</v>
      </c>
      <c r="D80" s="2" t="s">
        <v>228</v>
      </c>
      <c r="E80" s="2" t="s">
        <v>229</v>
      </c>
      <c r="F80" s="36" t="s">
        <v>18</v>
      </c>
      <c r="K80" s="32" t="str">
        <f>IFERROR(VLOOKUP(G80,'Taxonomy Sheet'!$A$3:$C$6,2,FALSE),"")</f>
        <v/>
      </c>
      <c r="L80" s="32">
        <f>IFERROR(VLOOKUP(F80,'Taxonomy Sheet'!$E$3:$F$5,2,FALSE),"")</f>
        <v>2</v>
      </c>
      <c r="M80" s="32" t="str">
        <f t="shared" si="1"/>
        <v/>
      </c>
    </row>
    <row r="81" spans="1:13" ht="14.25" customHeight="1" x14ac:dyDescent="0.35">
      <c r="A81" s="2" t="s">
        <v>230</v>
      </c>
      <c r="B81" s="2" t="s">
        <v>14</v>
      </c>
      <c r="C81" s="2" t="s">
        <v>218</v>
      </c>
      <c r="D81" s="2" t="s">
        <v>231</v>
      </c>
      <c r="E81" s="2" t="s">
        <v>232</v>
      </c>
      <c r="F81" s="36" t="s">
        <v>18</v>
      </c>
      <c r="K81" s="32" t="str">
        <f>IFERROR(VLOOKUP(G81,'Taxonomy Sheet'!$A$3:$C$6,2,FALSE),"")</f>
        <v/>
      </c>
      <c r="L81" s="32">
        <f>IFERROR(VLOOKUP(F81,'Taxonomy Sheet'!$E$3:$F$5,2,FALSE),"")</f>
        <v>2</v>
      </c>
      <c r="M81" s="32" t="str">
        <f t="shared" si="1"/>
        <v/>
      </c>
    </row>
    <row r="82" spans="1:13" ht="14.25" customHeight="1" x14ac:dyDescent="0.35">
      <c r="A82" s="2" t="s">
        <v>233</v>
      </c>
      <c r="B82" s="2" t="s">
        <v>14</v>
      </c>
      <c r="C82" s="2" t="s">
        <v>218</v>
      </c>
      <c r="D82" s="2" t="s">
        <v>234</v>
      </c>
      <c r="E82" s="2" t="s">
        <v>235</v>
      </c>
      <c r="F82" s="36" t="s">
        <v>18</v>
      </c>
      <c r="K82" s="32" t="str">
        <f>IFERROR(VLOOKUP(G82,'Taxonomy Sheet'!$A$3:$C$6,2,FALSE),"")</f>
        <v/>
      </c>
      <c r="L82" s="32">
        <f>IFERROR(VLOOKUP(F82,'Taxonomy Sheet'!$E$3:$F$5,2,FALSE),"")</f>
        <v>2</v>
      </c>
      <c r="M82" s="32" t="str">
        <f t="shared" si="1"/>
        <v/>
      </c>
    </row>
    <row r="83" spans="1:13" ht="14.25" customHeight="1" x14ac:dyDescent="0.35">
      <c r="A83" s="2" t="s">
        <v>236</v>
      </c>
      <c r="B83" s="2" t="s">
        <v>14</v>
      </c>
      <c r="C83" s="2" t="s">
        <v>237</v>
      </c>
      <c r="D83" s="2" t="s">
        <v>238</v>
      </c>
      <c r="E83" s="2" t="s">
        <v>239</v>
      </c>
      <c r="F83" s="36" t="s">
        <v>18</v>
      </c>
      <c r="K83" s="32" t="str">
        <f>IFERROR(VLOOKUP(G83,'Taxonomy Sheet'!$A$3:$C$6,2,FALSE),"")</f>
        <v/>
      </c>
      <c r="L83" s="32">
        <f>IFERROR(VLOOKUP(F83,'Taxonomy Sheet'!$E$3:$F$5,2,FALSE),"")</f>
        <v>2</v>
      </c>
      <c r="M83" s="32" t="str">
        <f t="shared" si="1"/>
        <v/>
      </c>
    </row>
    <row r="84" spans="1:13" ht="14.25" customHeight="1" x14ac:dyDescent="0.35">
      <c r="A84" s="2" t="s">
        <v>240</v>
      </c>
      <c r="B84" s="2" t="s">
        <v>14</v>
      </c>
      <c r="C84" s="2" t="s">
        <v>237</v>
      </c>
      <c r="D84" s="2" t="s">
        <v>241</v>
      </c>
      <c r="E84" s="2" t="s">
        <v>242</v>
      </c>
      <c r="F84" s="36" t="s">
        <v>18</v>
      </c>
      <c r="K84" s="32" t="str">
        <f>IFERROR(VLOOKUP(G84,'Taxonomy Sheet'!$A$3:$C$6,2,FALSE),"")</f>
        <v/>
      </c>
      <c r="L84" s="32">
        <f>IFERROR(VLOOKUP(F84,'Taxonomy Sheet'!$E$3:$F$5,2,FALSE),"")</f>
        <v>2</v>
      </c>
      <c r="M84" s="32" t="str">
        <f t="shared" si="1"/>
        <v/>
      </c>
    </row>
    <row r="85" spans="1:13" ht="14.25" customHeight="1" x14ac:dyDescent="0.35">
      <c r="A85" s="2" t="s">
        <v>243</v>
      </c>
      <c r="B85" s="2" t="s">
        <v>14</v>
      </c>
      <c r="C85" s="2" t="s">
        <v>237</v>
      </c>
      <c r="D85" s="2" t="s">
        <v>244</v>
      </c>
      <c r="E85" s="2" t="s">
        <v>245</v>
      </c>
      <c r="F85" s="36" t="s">
        <v>18</v>
      </c>
      <c r="G85" s="33"/>
      <c r="K85" s="32" t="str">
        <f>IFERROR(VLOOKUP(G85,'Taxonomy Sheet'!$A$3:$C$6,2,FALSE),"")</f>
        <v/>
      </c>
      <c r="L85" s="32">
        <f>IFERROR(VLOOKUP(F85,'Taxonomy Sheet'!$E$3:$F$5,2,FALSE),"")</f>
        <v>2</v>
      </c>
      <c r="M85" s="32" t="str">
        <f t="shared" si="1"/>
        <v/>
      </c>
    </row>
    <row r="86" spans="1:13" ht="14.25" customHeight="1" x14ac:dyDescent="0.35">
      <c r="A86" s="2" t="s">
        <v>246</v>
      </c>
      <c r="B86" s="2" t="s">
        <v>14</v>
      </c>
      <c r="C86" s="2" t="s">
        <v>237</v>
      </c>
      <c r="D86" s="2" t="s">
        <v>247</v>
      </c>
      <c r="E86" s="2" t="s">
        <v>248</v>
      </c>
      <c r="F86" s="36" t="s">
        <v>18</v>
      </c>
      <c r="K86" s="32" t="str">
        <f>IFERROR(VLOOKUP(G86,'Taxonomy Sheet'!$A$3:$C$6,2,FALSE),"")</f>
        <v/>
      </c>
      <c r="L86" s="32">
        <f>IFERROR(VLOOKUP(F86,'Taxonomy Sheet'!$E$3:$F$5,2,FALSE),"")</f>
        <v>2</v>
      </c>
      <c r="M86" s="32" t="str">
        <f t="shared" si="1"/>
        <v/>
      </c>
    </row>
    <row r="87" spans="1:13" ht="14.25" customHeight="1" x14ac:dyDescent="0.35">
      <c r="A87" s="2" t="s">
        <v>249</v>
      </c>
      <c r="B87" s="2" t="s">
        <v>14</v>
      </c>
      <c r="C87" s="2" t="s">
        <v>237</v>
      </c>
      <c r="D87" s="2" t="s">
        <v>250</v>
      </c>
      <c r="E87" s="2" t="s">
        <v>251</v>
      </c>
      <c r="F87" s="36" t="s">
        <v>18</v>
      </c>
      <c r="K87" s="32" t="str">
        <f>IFERROR(VLOOKUP(G87,'Taxonomy Sheet'!$A$3:$C$6,2,FALSE),"")</f>
        <v/>
      </c>
      <c r="L87" s="32">
        <f>IFERROR(VLOOKUP(F87,'Taxonomy Sheet'!$E$3:$F$5,2,FALSE),"")</f>
        <v>2</v>
      </c>
      <c r="M87" s="32" t="str">
        <f t="shared" si="1"/>
        <v/>
      </c>
    </row>
    <row r="88" spans="1:13" ht="14.25" customHeight="1" x14ac:dyDescent="0.35">
      <c r="A88" s="2" t="s">
        <v>252</v>
      </c>
      <c r="B88" s="2" t="s">
        <v>14</v>
      </c>
      <c r="C88" s="2" t="s">
        <v>237</v>
      </c>
      <c r="D88" s="2" t="s">
        <v>253</v>
      </c>
      <c r="E88" s="2" t="s">
        <v>254</v>
      </c>
      <c r="F88" s="36" t="s">
        <v>18</v>
      </c>
      <c r="K88" s="32" t="str">
        <f>IFERROR(VLOOKUP(G88,'Taxonomy Sheet'!$A$3:$C$6,2,FALSE),"")</f>
        <v/>
      </c>
      <c r="L88" s="32">
        <f>IFERROR(VLOOKUP(F88,'Taxonomy Sheet'!$E$3:$F$5,2,FALSE),"")</f>
        <v>2</v>
      </c>
      <c r="M88" s="32" t="str">
        <f t="shared" si="1"/>
        <v/>
      </c>
    </row>
    <row r="89" spans="1:13" ht="14.25" customHeight="1" x14ac:dyDescent="0.35">
      <c r="A89" s="2" t="s">
        <v>255</v>
      </c>
      <c r="B89" s="2" t="s">
        <v>14</v>
      </c>
      <c r="C89" s="2" t="s">
        <v>237</v>
      </c>
      <c r="D89" s="2" t="s">
        <v>256</v>
      </c>
      <c r="E89" s="2" t="s">
        <v>257</v>
      </c>
      <c r="F89" s="36" t="s">
        <v>18</v>
      </c>
      <c r="K89" s="32" t="str">
        <f>IFERROR(VLOOKUP(G89,'Taxonomy Sheet'!$A$3:$C$6,2,FALSE),"")</f>
        <v/>
      </c>
      <c r="L89" s="32">
        <f>IFERROR(VLOOKUP(F89,'Taxonomy Sheet'!$E$3:$F$5,2,FALSE),"")</f>
        <v>2</v>
      </c>
      <c r="M89" s="32" t="str">
        <f t="shared" si="1"/>
        <v/>
      </c>
    </row>
    <row r="90" spans="1:13" ht="14.25" customHeight="1" x14ac:dyDescent="0.35">
      <c r="A90" s="2" t="s">
        <v>258</v>
      </c>
      <c r="B90" s="2" t="s">
        <v>14</v>
      </c>
      <c r="C90" s="2" t="s">
        <v>237</v>
      </c>
      <c r="D90" s="2" t="s">
        <v>259</v>
      </c>
      <c r="E90" s="2" t="s">
        <v>260</v>
      </c>
      <c r="F90" s="36" t="s">
        <v>18</v>
      </c>
      <c r="K90" s="32" t="str">
        <f>IFERROR(VLOOKUP(G90,'Taxonomy Sheet'!$A$3:$C$6,2,FALSE),"")</f>
        <v/>
      </c>
      <c r="L90" s="32">
        <f>IFERROR(VLOOKUP(F90,'Taxonomy Sheet'!$E$3:$F$5,2,FALSE),"")</f>
        <v>2</v>
      </c>
      <c r="M90" s="32" t="str">
        <f t="shared" si="1"/>
        <v/>
      </c>
    </row>
    <row r="91" spans="1:13" ht="14.25" customHeight="1" x14ac:dyDescent="0.35">
      <c r="A91" s="2" t="s">
        <v>261</v>
      </c>
      <c r="B91" s="2" t="s">
        <v>14</v>
      </c>
      <c r="C91" s="2" t="s">
        <v>262</v>
      </c>
      <c r="D91" s="2" t="s">
        <v>263</v>
      </c>
      <c r="E91" s="2" t="s">
        <v>264</v>
      </c>
      <c r="F91" s="36" t="s">
        <v>119</v>
      </c>
      <c r="K91" s="32" t="str">
        <f>IFERROR(VLOOKUP(G91,'Taxonomy Sheet'!$A$3:$C$6,2,FALSE),"")</f>
        <v/>
      </c>
      <c r="L91" s="32">
        <f>IFERROR(VLOOKUP(F91,'Taxonomy Sheet'!$E$3:$F$5,2,FALSE),"")</f>
        <v>1.5</v>
      </c>
      <c r="M91" s="32" t="str">
        <f t="shared" si="1"/>
        <v/>
      </c>
    </row>
    <row r="92" spans="1:13" ht="14.25" customHeight="1" x14ac:dyDescent="0.35">
      <c r="A92" s="2" t="s">
        <v>265</v>
      </c>
      <c r="B92" s="2" t="s">
        <v>14</v>
      </c>
      <c r="C92" s="2" t="s">
        <v>262</v>
      </c>
      <c r="D92" s="2" t="s">
        <v>266</v>
      </c>
      <c r="E92" s="2" t="s">
        <v>267</v>
      </c>
      <c r="F92" s="36" t="s">
        <v>119</v>
      </c>
      <c r="K92" s="32" t="str">
        <f>IFERROR(VLOOKUP(G92,'Taxonomy Sheet'!$A$3:$C$6,2,FALSE),"")</f>
        <v/>
      </c>
      <c r="L92" s="32">
        <f>IFERROR(VLOOKUP(F92,'Taxonomy Sheet'!$E$3:$F$5,2,FALSE),"")</f>
        <v>1.5</v>
      </c>
      <c r="M92" s="32" t="str">
        <f t="shared" si="1"/>
        <v/>
      </c>
    </row>
    <row r="93" spans="1:13" ht="14.25" customHeight="1" x14ac:dyDescent="0.35">
      <c r="A93" s="2" t="s">
        <v>268</v>
      </c>
      <c r="B93" s="2" t="s">
        <v>14</v>
      </c>
      <c r="C93" s="2" t="s">
        <v>262</v>
      </c>
      <c r="D93" s="2" t="s">
        <v>269</v>
      </c>
      <c r="E93" s="2" t="s">
        <v>270</v>
      </c>
      <c r="F93" s="36" t="s">
        <v>119</v>
      </c>
      <c r="K93" s="32" t="str">
        <f>IFERROR(VLOOKUP(G93,'Taxonomy Sheet'!$A$3:$C$6,2,FALSE),"")</f>
        <v/>
      </c>
      <c r="L93" s="32">
        <f>IFERROR(VLOOKUP(F93,'Taxonomy Sheet'!$E$3:$F$5,2,FALSE),"")</f>
        <v>1.5</v>
      </c>
      <c r="M93" s="32" t="str">
        <f t="shared" si="1"/>
        <v/>
      </c>
    </row>
    <row r="94" spans="1:13" ht="14.25" customHeight="1" x14ac:dyDescent="0.35">
      <c r="A94" s="2" t="s">
        <v>271</v>
      </c>
      <c r="B94" s="2" t="s">
        <v>14</v>
      </c>
      <c r="C94" s="2" t="s">
        <v>262</v>
      </c>
      <c r="D94" s="2" t="s">
        <v>272</v>
      </c>
      <c r="E94" s="2" t="s">
        <v>273</v>
      </c>
      <c r="F94" s="36" t="s">
        <v>119</v>
      </c>
      <c r="K94" s="32" t="str">
        <f>IFERROR(VLOOKUP(G94,'Taxonomy Sheet'!$A$3:$C$6,2,FALSE),"")</f>
        <v/>
      </c>
      <c r="L94" s="32">
        <f>IFERROR(VLOOKUP(F94,'Taxonomy Sheet'!$E$3:$F$5,2,FALSE),"")</f>
        <v>1.5</v>
      </c>
      <c r="M94" s="32" t="str">
        <f t="shared" si="1"/>
        <v/>
      </c>
    </row>
    <row r="95" spans="1:13" ht="14.25" customHeight="1" x14ac:dyDescent="0.35">
      <c r="A95" s="2" t="s">
        <v>274</v>
      </c>
      <c r="B95" s="2" t="s">
        <v>14</v>
      </c>
      <c r="C95" s="2" t="s">
        <v>262</v>
      </c>
      <c r="D95" s="2" t="s">
        <v>275</v>
      </c>
      <c r="E95" s="2" t="s">
        <v>276</v>
      </c>
      <c r="F95" s="36" t="s">
        <v>119</v>
      </c>
      <c r="K95" s="32" t="str">
        <f>IFERROR(VLOOKUP(G95,'Taxonomy Sheet'!$A$3:$C$6,2,FALSE),"")</f>
        <v/>
      </c>
      <c r="L95" s="32">
        <f>IFERROR(VLOOKUP(F95,'Taxonomy Sheet'!$E$3:$F$5,2,FALSE),"")</f>
        <v>1.5</v>
      </c>
      <c r="M95" s="32" t="str">
        <f t="shared" si="1"/>
        <v/>
      </c>
    </row>
    <row r="96" spans="1:13" ht="14.25" customHeight="1" x14ac:dyDescent="0.35">
      <c r="A96" s="2" t="s">
        <v>277</v>
      </c>
      <c r="B96" s="2" t="s">
        <v>14</v>
      </c>
      <c r="C96" s="2" t="s">
        <v>262</v>
      </c>
      <c r="D96" s="2" t="s">
        <v>278</v>
      </c>
      <c r="E96" s="2" t="s">
        <v>279</v>
      </c>
      <c r="F96" s="36" t="s">
        <v>119</v>
      </c>
      <c r="K96" s="32" t="str">
        <f>IFERROR(VLOOKUP(G96,'Taxonomy Sheet'!$A$3:$C$6,2,FALSE),"")</f>
        <v/>
      </c>
      <c r="L96" s="32">
        <f>IFERROR(VLOOKUP(F96,'Taxonomy Sheet'!$E$3:$F$5,2,FALSE),"")</f>
        <v>1.5</v>
      </c>
      <c r="M96" s="32" t="str">
        <f t="shared" si="1"/>
        <v/>
      </c>
    </row>
    <row r="97" spans="1:13" ht="14.25" customHeight="1" x14ac:dyDescent="0.35">
      <c r="A97" s="2" t="s">
        <v>280</v>
      </c>
      <c r="B97" s="2" t="s">
        <v>14</v>
      </c>
      <c r="C97" s="2" t="s">
        <v>262</v>
      </c>
      <c r="D97" s="2" t="s">
        <v>281</v>
      </c>
      <c r="E97" s="2" t="s">
        <v>282</v>
      </c>
      <c r="F97" s="36" t="s">
        <v>119</v>
      </c>
      <c r="K97" s="32" t="str">
        <f>IFERROR(VLOOKUP(G97,'Taxonomy Sheet'!$A$3:$C$6,2,FALSE),"")</f>
        <v/>
      </c>
      <c r="L97" s="32">
        <f>IFERROR(VLOOKUP(F97,'Taxonomy Sheet'!$E$3:$F$5,2,FALSE),"")</f>
        <v>1.5</v>
      </c>
      <c r="M97" s="32" t="str">
        <f t="shared" si="1"/>
        <v/>
      </c>
    </row>
    <row r="98" spans="1:13" ht="14.25" customHeight="1" x14ac:dyDescent="0.35">
      <c r="A98" s="2" t="s">
        <v>283</v>
      </c>
      <c r="B98" s="2" t="s">
        <v>14</v>
      </c>
      <c r="C98" s="2" t="s">
        <v>262</v>
      </c>
      <c r="D98" s="2" t="s">
        <v>284</v>
      </c>
      <c r="E98" s="2" t="s">
        <v>285</v>
      </c>
      <c r="F98" s="36" t="s">
        <v>119</v>
      </c>
      <c r="K98" s="32" t="str">
        <f>IFERROR(VLOOKUP(G98,'Taxonomy Sheet'!$A$3:$C$6,2,FALSE),"")</f>
        <v/>
      </c>
      <c r="L98" s="32">
        <f>IFERROR(VLOOKUP(F98,'Taxonomy Sheet'!$E$3:$F$5,2,FALSE),"")</f>
        <v>1.5</v>
      </c>
      <c r="M98" s="32" t="str">
        <f t="shared" si="1"/>
        <v/>
      </c>
    </row>
    <row r="99" spans="1:13" ht="14.25" customHeight="1" x14ac:dyDescent="0.35">
      <c r="A99" s="2" t="s">
        <v>286</v>
      </c>
      <c r="B99" s="2" t="s">
        <v>14</v>
      </c>
      <c r="C99" s="2" t="s">
        <v>262</v>
      </c>
      <c r="D99" s="2" t="s">
        <v>287</v>
      </c>
      <c r="E99" s="2" t="s">
        <v>288</v>
      </c>
      <c r="F99" s="36" t="s">
        <v>119</v>
      </c>
      <c r="K99" s="32" t="str">
        <f>IFERROR(VLOOKUP(G99,'Taxonomy Sheet'!$A$3:$C$6,2,FALSE),"")</f>
        <v/>
      </c>
      <c r="L99" s="32">
        <f>IFERROR(VLOOKUP(F99,'Taxonomy Sheet'!$E$3:$F$5,2,FALSE),"")</f>
        <v>1.5</v>
      </c>
      <c r="M99" s="32" t="str">
        <f t="shared" si="1"/>
        <v/>
      </c>
    </row>
    <row r="100" spans="1:13" ht="14.25" customHeight="1" x14ac:dyDescent="0.35">
      <c r="A100" s="2" t="s">
        <v>289</v>
      </c>
      <c r="B100" s="2" t="s">
        <v>14</v>
      </c>
      <c r="C100" s="2" t="s">
        <v>290</v>
      </c>
      <c r="D100" s="2" t="s">
        <v>291</v>
      </c>
      <c r="E100" s="2" t="s">
        <v>292</v>
      </c>
      <c r="F100" s="36" t="s">
        <v>119</v>
      </c>
      <c r="K100" s="32" t="str">
        <f>IFERROR(VLOOKUP(G100,'Taxonomy Sheet'!$A$3:$C$6,2,FALSE),"")</f>
        <v/>
      </c>
      <c r="L100" s="32">
        <f>IFERROR(VLOOKUP(F100,'Taxonomy Sheet'!$E$3:$F$5,2,FALSE),"")</f>
        <v>1.5</v>
      </c>
      <c r="M100" s="32" t="str">
        <f t="shared" si="1"/>
        <v/>
      </c>
    </row>
    <row r="101" spans="1:13" ht="14.25" customHeight="1" x14ac:dyDescent="0.35">
      <c r="A101" s="2" t="s">
        <v>293</v>
      </c>
      <c r="B101" s="2" t="s">
        <v>14</v>
      </c>
      <c r="C101" s="2" t="s">
        <v>290</v>
      </c>
      <c r="D101" s="2" t="s">
        <v>294</v>
      </c>
      <c r="E101" s="2" t="s">
        <v>295</v>
      </c>
      <c r="F101" s="36" t="s">
        <v>119</v>
      </c>
      <c r="K101" s="32" t="str">
        <f>IFERROR(VLOOKUP(G101,'Taxonomy Sheet'!$A$3:$C$6,2,FALSE),"")</f>
        <v/>
      </c>
      <c r="L101" s="32">
        <f>IFERROR(VLOOKUP(F101,'Taxonomy Sheet'!$E$3:$F$5,2,FALSE),"")</f>
        <v>1.5</v>
      </c>
      <c r="M101" s="32" t="str">
        <f t="shared" si="1"/>
        <v/>
      </c>
    </row>
    <row r="102" spans="1:13" ht="14.25" customHeight="1" x14ac:dyDescent="0.35">
      <c r="A102" s="2" t="s">
        <v>296</v>
      </c>
      <c r="B102" s="2" t="s">
        <v>14</v>
      </c>
      <c r="C102" s="2" t="s">
        <v>290</v>
      </c>
      <c r="D102" s="2" t="s">
        <v>297</v>
      </c>
      <c r="E102" s="2" t="s">
        <v>298</v>
      </c>
      <c r="F102" s="36" t="s">
        <v>119</v>
      </c>
      <c r="K102" s="32" t="str">
        <f>IFERROR(VLOOKUP(G102,'Taxonomy Sheet'!$A$3:$C$6,2,FALSE),"")</f>
        <v/>
      </c>
      <c r="L102" s="32">
        <f>IFERROR(VLOOKUP(F102,'Taxonomy Sheet'!$E$3:$F$5,2,FALSE),"")</f>
        <v>1.5</v>
      </c>
      <c r="M102" s="32" t="str">
        <f t="shared" si="1"/>
        <v/>
      </c>
    </row>
    <row r="103" spans="1:13" ht="14.25" customHeight="1" x14ac:dyDescent="0.35">
      <c r="A103" s="2" t="s">
        <v>299</v>
      </c>
      <c r="B103" s="2" t="s">
        <v>14</v>
      </c>
      <c r="C103" s="2" t="s">
        <v>290</v>
      </c>
      <c r="D103" s="2" t="s">
        <v>300</v>
      </c>
      <c r="E103" s="2" t="s">
        <v>301</v>
      </c>
      <c r="F103" s="36" t="s">
        <v>119</v>
      </c>
      <c r="K103" s="32" t="str">
        <f>IFERROR(VLOOKUP(G103,'Taxonomy Sheet'!$A$3:$C$6,2,FALSE),"")</f>
        <v/>
      </c>
      <c r="L103" s="32">
        <f>IFERROR(VLOOKUP(F103,'Taxonomy Sheet'!$E$3:$F$5,2,FALSE),"")</f>
        <v>1.5</v>
      </c>
      <c r="M103" s="32" t="str">
        <f t="shared" si="1"/>
        <v/>
      </c>
    </row>
    <row r="104" spans="1:13" ht="14.25" customHeight="1" x14ac:dyDescent="0.35">
      <c r="A104" s="2" t="s">
        <v>302</v>
      </c>
      <c r="B104" s="2" t="s">
        <v>14</v>
      </c>
      <c r="C104" s="2" t="s">
        <v>290</v>
      </c>
      <c r="D104" s="2" t="s">
        <v>303</v>
      </c>
      <c r="E104" s="2" t="s">
        <v>304</v>
      </c>
      <c r="F104" s="36" t="s">
        <v>119</v>
      </c>
      <c r="K104" s="32" t="str">
        <f>IFERROR(VLOOKUP(G104,'Taxonomy Sheet'!$A$3:$C$6,2,FALSE),"")</f>
        <v/>
      </c>
      <c r="L104" s="32">
        <f>IFERROR(VLOOKUP(F104,'Taxonomy Sheet'!$E$3:$F$5,2,FALSE),"")</f>
        <v>1.5</v>
      </c>
      <c r="M104" s="32" t="str">
        <f t="shared" si="1"/>
        <v/>
      </c>
    </row>
    <row r="105" spans="1:13" ht="14.25" customHeight="1" x14ac:dyDescent="0.35">
      <c r="A105" s="2" t="s">
        <v>305</v>
      </c>
      <c r="B105" s="2" t="s">
        <v>14</v>
      </c>
      <c r="C105" s="2" t="s">
        <v>290</v>
      </c>
      <c r="D105" s="2" t="s">
        <v>306</v>
      </c>
      <c r="E105" s="2" t="s">
        <v>307</v>
      </c>
      <c r="F105" s="36" t="s">
        <v>119</v>
      </c>
      <c r="K105" s="32" t="str">
        <f>IFERROR(VLOOKUP(G105,'Taxonomy Sheet'!$A$3:$C$6,2,FALSE),"")</f>
        <v/>
      </c>
      <c r="L105" s="32">
        <f>IFERROR(VLOOKUP(F105,'Taxonomy Sheet'!$E$3:$F$5,2,FALSE),"")</f>
        <v>1.5</v>
      </c>
      <c r="M105" s="32" t="str">
        <f t="shared" si="1"/>
        <v/>
      </c>
    </row>
    <row r="106" spans="1:13" ht="14.25" customHeight="1" x14ac:dyDescent="0.35">
      <c r="A106" s="2" t="s">
        <v>308</v>
      </c>
      <c r="B106" s="2" t="s">
        <v>14</v>
      </c>
      <c r="C106" s="2" t="s">
        <v>290</v>
      </c>
      <c r="D106" s="2" t="s">
        <v>309</v>
      </c>
      <c r="E106" s="2" t="s">
        <v>310</v>
      </c>
      <c r="F106" s="36" t="s">
        <v>119</v>
      </c>
      <c r="K106" s="32" t="str">
        <f>IFERROR(VLOOKUP(G106,'Taxonomy Sheet'!$A$3:$C$6,2,FALSE),"")</f>
        <v/>
      </c>
      <c r="L106" s="32">
        <f>IFERROR(VLOOKUP(F106,'Taxonomy Sheet'!$E$3:$F$5,2,FALSE),"")</f>
        <v>1.5</v>
      </c>
      <c r="M106" s="32" t="str">
        <f t="shared" si="1"/>
        <v/>
      </c>
    </row>
    <row r="107" spans="1:13" ht="14.25" customHeight="1" x14ac:dyDescent="0.35">
      <c r="A107" s="2" t="s">
        <v>311</v>
      </c>
      <c r="B107" s="2" t="s">
        <v>14</v>
      </c>
      <c r="C107" s="2" t="s">
        <v>290</v>
      </c>
      <c r="D107" s="2" t="s">
        <v>312</v>
      </c>
      <c r="E107" s="2" t="s">
        <v>313</v>
      </c>
      <c r="F107" s="36" t="s">
        <v>119</v>
      </c>
      <c r="K107" s="32" t="str">
        <f>IFERROR(VLOOKUP(G107,'Taxonomy Sheet'!$A$3:$C$6,2,FALSE),"")</f>
        <v/>
      </c>
      <c r="L107" s="32">
        <f>IFERROR(VLOOKUP(F107,'Taxonomy Sheet'!$E$3:$F$5,2,FALSE),"")</f>
        <v>1.5</v>
      </c>
      <c r="M107" s="32" t="str">
        <f t="shared" si="1"/>
        <v/>
      </c>
    </row>
    <row r="108" spans="1:13" ht="14.25" customHeight="1" x14ac:dyDescent="0.35">
      <c r="A108" s="2" t="s">
        <v>314</v>
      </c>
      <c r="B108" s="2" t="s">
        <v>14</v>
      </c>
      <c r="C108" s="2" t="s">
        <v>290</v>
      </c>
      <c r="D108" s="2" t="s">
        <v>315</v>
      </c>
      <c r="E108" s="2" t="s">
        <v>316</v>
      </c>
      <c r="F108" s="36" t="s">
        <v>119</v>
      </c>
      <c r="K108" s="32" t="str">
        <f>IFERROR(VLOOKUP(G108,'Taxonomy Sheet'!$A$3:$C$6,2,FALSE),"")</f>
        <v/>
      </c>
      <c r="L108" s="32">
        <f>IFERROR(VLOOKUP(F108,'Taxonomy Sheet'!$E$3:$F$5,2,FALSE),"")</f>
        <v>1.5</v>
      </c>
      <c r="M108" s="32" t="str">
        <f t="shared" si="1"/>
        <v/>
      </c>
    </row>
    <row r="109" spans="1:13" ht="14.25" customHeight="1" x14ac:dyDescent="0.35">
      <c r="A109" s="2" t="s">
        <v>317</v>
      </c>
      <c r="B109" s="2" t="s">
        <v>14</v>
      </c>
      <c r="C109" s="2" t="s">
        <v>318</v>
      </c>
      <c r="D109" s="2" t="s">
        <v>319</v>
      </c>
      <c r="E109" s="2" t="s">
        <v>320</v>
      </c>
      <c r="F109" s="37" t="s">
        <v>18</v>
      </c>
      <c r="K109" s="32" t="str">
        <f>IFERROR(VLOOKUP(G109,'Taxonomy Sheet'!$A$3:$C$6,2,FALSE),"")</f>
        <v/>
      </c>
      <c r="L109" s="32">
        <f>IFERROR(VLOOKUP(F109,'Taxonomy Sheet'!$E$3:$F$5,2,FALSE),"")</f>
        <v>2</v>
      </c>
      <c r="M109" s="32" t="str">
        <f t="shared" si="1"/>
        <v/>
      </c>
    </row>
    <row r="110" spans="1:13" ht="14.25" customHeight="1" x14ac:dyDescent="0.35">
      <c r="A110" s="2" t="s">
        <v>321</v>
      </c>
      <c r="B110" s="2" t="s">
        <v>14</v>
      </c>
      <c r="C110" s="2" t="s">
        <v>318</v>
      </c>
      <c r="D110" s="2" t="s">
        <v>322</v>
      </c>
      <c r="E110" s="2" t="s">
        <v>323</v>
      </c>
      <c r="F110" s="37" t="s">
        <v>119</v>
      </c>
      <c r="K110" s="32" t="str">
        <f>IFERROR(VLOOKUP(G110,'Taxonomy Sheet'!$A$3:$C$6,2,FALSE),"")</f>
        <v/>
      </c>
      <c r="L110" s="32">
        <f>IFERROR(VLOOKUP(F110,'Taxonomy Sheet'!$E$3:$F$5,2,FALSE),"")</f>
        <v>1.5</v>
      </c>
      <c r="M110" s="32" t="str">
        <f t="shared" si="1"/>
        <v/>
      </c>
    </row>
    <row r="111" spans="1:13" ht="14.25" customHeight="1" x14ac:dyDescent="0.35">
      <c r="A111" s="2" t="s">
        <v>324</v>
      </c>
      <c r="B111" s="2" t="s">
        <v>14</v>
      </c>
      <c r="C111" s="2" t="s">
        <v>318</v>
      </c>
      <c r="D111" s="2" t="s">
        <v>325</v>
      </c>
      <c r="E111" s="2" t="s">
        <v>326</v>
      </c>
      <c r="F111" s="37" t="s">
        <v>18</v>
      </c>
      <c r="K111" s="32" t="str">
        <f>IFERROR(VLOOKUP(G111,'Taxonomy Sheet'!$A$3:$C$6,2,FALSE),"")</f>
        <v/>
      </c>
      <c r="L111" s="32">
        <f>IFERROR(VLOOKUP(F111,'Taxonomy Sheet'!$E$3:$F$5,2,FALSE),"")</f>
        <v>2</v>
      </c>
      <c r="M111" s="32" t="str">
        <f t="shared" si="1"/>
        <v/>
      </c>
    </row>
    <row r="112" spans="1:13" ht="14.25" customHeight="1" x14ac:dyDescent="0.35">
      <c r="A112" s="2" t="s">
        <v>327</v>
      </c>
      <c r="B112" s="2" t="s">
        <v>14</v>
      </c>
      <c r="C112" s="2" t="s">
        <v>318</v>
      </c>
      <c r="D112" s="2" t="s">
        <v>328</v>
      </c>
      <c r="E112" s="2" t="s">
        <v>329</v>
      </c>
      <c r="F112" s="37" t="s">
        <v>119</v>
      </c>
      <c r="K112" s="32" t="str">
        <f>IFERROR(VLOOKUP(G112,'Taxonomy Sheet'!$A$3:$C$6,2,FALSE),"")</f>
        <v/>
      </c>
      <c r="L112" s="32">
        <f>IFERROR(VLOOKUP(F112,'Taxonomy Sheet'!$E$3:$F$5,2,FALSE),"")</f>
        <v>1.5</v>
      </c>
      <c r="M112" s="32" t="str">
        <f t="shared" si="1"/>
        <v/>
      </c>
    </row>
    <row r="113" spans="1:13" ht="14.25" customHeight="1" x14ac:dyDescent="0.35">
      <c r="A113" s="2" t="s">
        <v>330</v>
      </c>
      <c r="B113" s="2" t="s">
        <v>14</v>
      </c>
      <c r="C113" s="2" t="s">
        <v>318</v>
      </c>
      <c r="D113" s="2" t="s">
        <v>331</v>
      </c>
      <c r="E113" s="2" t="s">
        <v>332</v>
      </c>
      <c r="F113" s="37" t="s">
        <v>119</v>
      </c>
      <c r="K113" s="32" t="str">
        <f>IFERROR(VLOOKUP(G113,'Taxonomy Sheet'!$A$3:$C$6,2,FALSE),"")</f>
        <v/>
      </c>
      <c r="L113" s="32">
        <f>IFERROR(VLOOKUP(F113,'Taxonomy Sheet'!$E$3:$F$5,2,FALSE),"")</f>
        <v>1.5</v>
      </c>
      <c r="M113" s="32" t="str">
        <f t="shared" si="1"/>
        <v/>
      </c>
    </row>
    <row r="114" spans="1:13" ht="14.25" customHeight="1" x14ac:dyDescent="0.35">
      <c r="A114" s="2" t="s">
        <v>333</v>
      </c>
      <c r="B114" s="2" t="s">
        <v>14</v>
      </c>
      <c r="C114" s="2" t="s">
        <v>318</v>
      </c>
      <c r="D114" s="2" t="s">
        <v>334</v>
      </c>
      <c r="E114" s="2" t="s">
        <v>335</v>
      </c>
      <c r="F114" s="37" t="s">
        <v>119</v>
      </c>
      <c r="K114" s="32" t="str">
        <f>IFERROR(VLOOKUP(G114,'Taxonomy Sheet'!$A$3:$C$6,2,FALSE),"")</f>
        <v/>
      </c>
      <c r="L114" s="32">
        <f>IFERROR(VLOOKUP(F114,'Taxonomy Sheet'!$E$3:$F$5,2,FALSE),"")</f>
        <v>1.5</v>
      </c>
      <c r="M114" s="32" t="str">
        <f t="shared" si="1"/>
        <v/>
      </c>
    </row>
    <row r="115" spans="1:13" ht="14.25" customHeight="1" x14ac:dyDescent="0.35">
      <c r="A115" s="2" t="s">
        <v>336</v>
      </c>
      <c r="B115" s="2" t="s">
        <v>14</v>
      </c>
      <c r="C115" s="2" t="s">
        <v>318</v>
      </c>
      <c r="D115" s="2" t="s">
        <v>337</v>
      </c>
      <c r="E115" s="2" t="s">
        <v>338</v>
      </c>
      <c r="F115" s="37" t="s">
        <v>18</v>
      </c>
      <c r="K115" s="32" t="str">
        <f>IFERROR(VLOOKUP(G115,'Taxonomy Sheet'!$A$3:$C$6,2,FALSE),"")</f>
        <v/>
      </c>
      <c r="L115" s="32">
        <f>IFERROR(VLOOKUP(F115,'Taxonomy Sheet'!$E$3:$F$5,2,FALSE),"")</f>
        <v>2</v>
      </c>
      <c r="M115" s="32" t="str">
        <f t="shared" si="1"/>
        <v/>
      </c>
    </row>
    <row r="116" spans="1:13" ht="14.25" customHeight="1" x14ac:dyDescent="0.35">
      <c r="A116" s="2" t="s">
        <v>339</v>
      </c>
      <c r="B116" s="2" t="s">
        <v>14</v>
      </c>
      <c r="C116" s="2" t="s">
        <v>340</v>
      </c>
      <c r="D116" s="2" t="s">
        <v>341</v>
      </c>
      <c r="E116" s="2" t="s">
        <v>342</v>
      </c>
      <c r="F116" s="36" t="s">
        <v>18</v>
      </c>
      <c r="K116" s="32" t="str">
        <f>IFERROR(VLOOKUP(G116,'Taxonomy Sheet'!$A$3:$C$6,2,FALSE),"")</f>
        <v/>
      </c>
      <c r="L116" s="32">
        <f>IFERROR(VLOOKUP(F116,'Taxonomy Sheet'!$E$3:$F$5,2,FALSE),"")</f>
        <v>2</v>
      </c>
      <c r="M116" s="32" t="str">
        <f t="shared" si="1"/>
        <v/>
      </c>
    </row>
    <row r="117" spans="1:13" ht="14.25" customHeight="1" x14ac:dyDescent="0.35">
      <c r="A117" s="2" t="s">
        <v>343</v>
      </c>
      <c r="B117" s="2" t="s">
        <v>14</v>
      </c>
      <c r="C117" s="2" t="s">
        <v>340</v>
      </c>
      <c r="D117" s="2" t="s">
        <v>344</v>
      </c>
      <c r="E117" s="2" t="s">
        <v>345</v>
      </c>
      <c r="F117" s="36" t="s">
        <v>18</v>
      </c>
      <c r="K117" s="32" t="str">
        <f>IFERROR(VLOOKUP(G117,'Taxonomy Sheet'!$A$3:$C$6,2,FALSE),"")</f>
        <v/>
      </c>
      <c r="L117" s="32">
        <f>IFERROR(VLOOKUP(F117,'Taxonomy Sheet'!$E$3:$F$5,2,FALSE),"")</f>
        <v>2</v>
      </c>
      <c r="M117" s="32" t="str">
        <f t="shared" si="1"/>
        <v/>
      </c>
    </row>
    <row r="118" spans="1:13" ht="14.25" customHeight="1" x14ac:dyDescent="0.35">
      <c r="A118" s="2" t="s">
        <v>346</v>
      </c>
      <c r="B118" s="2" t="s">
        <v>14</v>
      </c>
      <c r="C118" s="2" t="s">
        <v>340</v>
      </c>
      <c r="D118" s="2" t="s">
        <v>347</v>
      </c>
      <c r="E118" s="2" t="s">
        <v>348</v>
      </c>
      <c r="F118" s="36" t="s">
        <v>18</v>
      </c>
      <c r="K118" s="32" t="str">
        <f>IFERROR(VLOOKUP(G118,'Taxonomy Sheet'!$A$3:$C$6,2,FALSE),"")</f>
        <v/>
      </c>
      <c r="L118" s="32">
        <f>IFERROR(VLOOKUP(F118,'Taxonomy Sheet'!$E$3:$F$5,2,FALSE),"")</f>
        <v>2</v>
      </c>
      <c r="M118" s="32" t="str">
        <f t="shared" si="1"/>
        <v/>
      </c>
    </row>
    <row r="119" spans="1:13" ht="14.25" customHeight="1" x14ac:dyDescent="0.35">
      <c r="A119" s="2" t="s">
        <v>349</v>
      </c>
      <c r="B119" s="2" t="s">
        <v>14</v>
      </c>
      <c r="C119" s="2" t="s">
        <v>340</v>
      </c>
      <c r="D119" s="2" t="s">
        <v>350</v>
      </c>
      <c r="E119" s="2" t="s">
        <v>351</v>
      </c>
      <c r="F119" s="36" t="s">
        <v>18</v>
      </c>
      <c r="K119" s="32" t="str">
        <f>IFERROR(VLOOKUP(G119,'Taxonomy Sheet'!$A$3:$C$6,2,FALSE),"")</f>
        <v/>
      </c>
      <c r="L119" s="32">
        <f>IFERROR(VLOOKUP(F119,'Taxonomy Sheet'!$E$3:$F$5,2,FALSE),"")</f>
        <v>2</v>
      </c>
      <c r="M119" s="32" t="str">
        <f t="shared" si="1"/>
        <v/>
      </c>
    </row>
    <row r="120" spans="1:13" ht="14.25" customHeight="1" x14ac:dyDescent="0.35">
      <c r="A120" s="2" t="s">
        <v>352</v>
      </c>
      <c r="B120" s="2" t="s">
        <v>14</v>
      </c>
      <c r="C120" s="2" t="s">
        <v>340</v>
      </c>
      <c r="D120" s="2" t="s">
        <v>353</v>
      </c>
      <c r="E120" s="2" t="s">
        <v>354</v>
      </c>
      <c r="F120" s="36" t="s">
        <v>18</v>
      </c>
      <c r="K120" s="32" t="str">
        <f>IFERROR(VLOOKUP(G120,'Taxonomy Sheet'!$A$3:$C$6,2,FALSE),"")</f>
        <v/>
      </c>
      <c r="L120" s="32">
        <f>IFERROR(VLOOKUP(F120,'Taxonomy Sheet'!$E$3:$F$5,2,FALSE),"")</f>
        <v>2</v>
      </c>
      <c r="M120" s="32" t="str">
        <f t="shared" si="1"/>
        <v/>
      </c>
    </row>
    <row r="121" spans="1:13" ht="14.25" customHeight="1" x14ac:dyDescent="0.35">
      <c r="A121" s="2" t="s">
        <v>355</v>
      </c>
      <c r="B121" s="2" t="s">
        <v>14</v>
      </c>
      <c r="C121" s="2" t="s">
        <v>340</v>
      </c>
      <c r="D121" s="2" t="s">
        <v>356</v>
      </c>
      <c r="E121" s="2" t="s">
        <v>357</v>
      </c>
      <c r="F121" s="36" t="s">
        <v>18</v>
      </c>
      <c r="K121" s="32" t="str">
        <f>IFERROR(VLOOKUP(G121,'Taxonomy Sheet'!$A$3:$C$6,2,FALSE),"")</f>
        <v/>
      </c>
      <c r="L121" s="32">
        <f>IFERROR(VLOOKUP(F121,'Taxonomy Sheet'!$E$3:$F$5,2,FALSE),"")</f>
        <v>2</v>
      </c>
      <c r="M121" s="32" t="str">
        <f t="shared" si="1"/>
        <v/>
      </c>
    </row>
    <row r="122" spans="1:13" ht="14.25" customHeight="1" x14ac:dyDescent="0.35">
      <c r="A122" s="2" t="s">
        <v>358</v>
      </c>
      <c r="B122" s="2" t="s">
        <v>14</v>
      </c>
      <c r="C122" s="2" t="s">
        <v>340</v>
      </c>
      <c r="D122" s="2" t="s">
        <v>359</v>
      </c>
      <c r="E122" s="2" t="s">
        <v>360</v>
      </c>
      <c r="F122" s="36" t="s">
        <v>18</v>
      </c>
      <c r="K122" s="32" t="str">
        <f>IFERROR(VLOOKUP(G122,'Taxonomy Sheet'!$A$3:$C$6,2,FALSE),"")</f>
        <v/>
      </c>
      <c r="L122" s="32">
        <f>IFERROR(VLOOKUP(F122,'Taxonomy Sheet'!$E$3:$F$5,2,FALSE),"")</f>
        <v>2</v>
      </c>
      <c r="M122" s="32" t="str">
        <f t="shared" si="1"/>
        <v/>
      </c>
    </row>
    <row r="123" spans="1:13" ht="14.25" customHeight="1" x14ac:dyDescent="0.35">
      <c r="A123" s="2" t="s">
        <v>361</v>
      </c>
      <c r="B123" s="2" t="s">
        <v>14</v>
      </c>
      <c r="C123" s="2" t="s">
        <v>362</v>
      </c>
      <c r="D123" s="2" t="s">
        <v>363</v>
      </c>
      <c r="E123" s="2" t="s">
        <v>364</v>
      </c>
      <c r="F123" s="36" t="s">
        <v>18</v>
      </c>
      <c r="K123" s="32" t="str">
        <f>IFERROR(VLOOKUP(G123,'Taxonomy Sheet'!$A$3:$C$6,2,FALSE),"")</f>
        <v/>
      </c>
      <c r="L123" s="32">
        <f>IFERROR(VLOOKUP(F123,'Taxonomy Sheet'!$E$3:$F$5,2,FALSE),"")</f>
        <v>2</v>
      </c>
      <c r="M123" s="32" t="str">
        <f t="shared" si="1"/>
        <v/>
      </c>
    </row>
    <row r="124" spans="1:13" ht="14.25" customHeight="1" x14ac:dyDescent="0.35">
      <c r="A124" s="2" t="s">
        <v>365</v>
      </c>
      <c r="B124" s="2" t="s">
        <v>14</v>
      </c>
      <c r="C124" s="2" t="s">
        <v>362</v>
      </c>
      <c r="D124" s="2" t="s">
        <v>366</v>
      </c>
      <c r="E124" s="2" t="s">
        <v>367</v>
      </c>
      <c r="F124" s="36" t="s">
        <v>119</v>
      </c>
      <c r="K124" s="32" t="str">
        <f>IFERROR(VLOOKUP(G124,'Taxonomy Sheet'!$A$3:$C$6,2,FALSE),"")</f>
        <v/>
      </c>
      <c r="L124" s="32">
        <f>IFERROR(VLOOKUP(F124,'Taxonomy Sheet'!$E$3:$F$5,2,FALSE),"")</f>
        <v>1.5</v>
      </c>
      <c r="M124" s="32" t="str">
        <f t="shared" si="1"/>
        <v/>
      </c>
    </row>
    <row r="125" spans="1:13" ht="14.25" customHeight="1" x14ac:dyDescent="0.35">
      <c r="A125" s="2" t="s">
        <v>368</v>
      </c>
      <c r="B125" s="2" t="s">
        <v>14</v>
      </c>
      <c r="C125" s="2" t="s">
        <v>362</v>
      </c>
      <c r="D125" s="2" t="s">
        <v>369</v>
      </c>
      <c r="E125" s="2" t="s">
        <v>370</v>
      </c>
      <c r="F125" s="36" t="s">
        <v>119</v>
      </c>
      <c r="K125" s="32" t="str">
        <f>IFERROR(VLOOKUP(G125,'Taxonomy Sheet'!$A$3:$C$6,2,FALSE),"")</f>
        <v/>
      </c>
      <c r="L125" s="32">
        <f>IFERROR(VLOOKUP(F125,'Taxonomy Sheet'!$E$3:$F$5,2,FALSE),"")</f>
        <v>1.5</v>
      </c>
      <c r="M125" s="32" t="str">
        <f t="shared" si="1"/>
        <v/>
      </c>
    </row>
    <row r="126" spans="1:13" ht="14.25" customHeight="1" x14ac:dyDescent="0.35">
      <c r="A126" s="2" t="s">
        <v>371</v>
      </c>
      <c r="B126" s="2" t="s">
        <v>14</v>
      </c>
      <c r="C126" s="2" t="s">
        <v>362</v>
      </c>
      <c r="D126" s="2" t="s">
        <v>372</v>
      </c>
      <c r="E126" s="2" t="s">
        <v>373</v>
      </c>
      <c r="F126" s="37" t="s">
        <v>18</v>
      </c>
      <c r="K126" s="32" t="str">
        <f>IFERROR(VLOOKUP(G126,'Taxonomy Sheet'!$A$3:$C$6,2,FALSE),"")</f>
        <v/>
      </c>
      <c r="L126" s="32">
        <f>IFERROR(VLOOKUP(F126,'Taxonomy Sheet'!$E$3:$F$5,2,FALSE),"")</f>
        <v>2</v>
      </c>
      <c r="M126" s="32" t="str">
        <f t="shared" si="1"/>
        <v/>
      </c>
    </row>
    <row r="127" spans="1:13" ht="14.25" customHeight="1" x14ac:dyDescent="0.35">
      <c r="A127" s="2" t="s">
        <v>374</v>
      </c>
      <c r="B127" s="2" t="s">
        <v>14</v>
      </c>
      <c r="C127" s="2" t="s">
        <v>362</v>
      </c>
      <c r="D127" s="2" t="s">
        <v>375</v>
      </c>
      <c r="E127" s="2" t="s">
        <v>376</v>
      </c>
      <c r="F127" s="37" t="s">
        <v>165</v>
      </c>
      <c r="K127" s="32" t="str">
        <f>IFERROR(VLOOKUP(G127,'Taxonomy Sheet'!$A$3:$C$6,2,FALSE),"")</f>
        <v/>
      </c>
      <c r="L127" s="32">
        <f>IFERROR(VLOOKUP(F127,'Taxonomy Sheet'!$E$3:$F$5,2,FALSE),"")</f>
        <v>1</v>
      </c>
      <c r="M127" s="32" t="str">
        <f t="shared" si="1"/>
        <v/>
      </c>
    </row>
    <row r="128" spans="1:13" ht="14.25" customHeight="1" x14ac:dyDescent="0.35">
      <c r="A128" s="2" t="s">
        <v>377</v>
      </c>
      <c r="B128" s="2" t="s">
        <v>14</v>
      </c>
      <c r="C128" s="2" t="s">
        <v>362</v>
      </c>
      <c r="D128" s="2" t="s">
        <v>378</v>
      </c>
      <c r="E128" s="2" t="s">
        <v>379</v>
      </c>
      <c r="F128" s="37" t="s">
        <v>18</v>
      </c>
      <c r="K128" s="32" t="str">
        <f>IFERROR(VLOOKUP(G128,'Taxonomy Sheet'!$A$3:$C$6,2,FALSE),"")</f>
        <v/>
      </c>
      <c r="L128" s="32">
        <f>IFERROR(VLOOKUP(F128,'Taxonomy Sheet'!$E$3:$F$5,2,FALSE),"")</f>
        <v>2</v>
      </c>
      <c r="M128" s="32" t="str">
        <f t="shared" si="1"/>
        <v/>
      </c>
    </row>
    <row r="129" spans="1:13" ht="14.25" customHeight="1" x14ac:dyDescent="0.35">
      <c r="A129" s="2" t="s">
        <v>380</v>
      </c>
      <c r="B129" s="2" t="s">
        <v>14</v>
      </c>
      <c r="C129" s="2" t="s">
        <v>362</v>
      </c>
      <c r="D129" s="2" t="s">
        <v>381</v>
      </c>
      <c r="E129" s="2" t="s">
        <v>382</v>
      </c>
      <c r="F129" s="37" t="s">
        <v>18</v>
      </c>
      <c r="K129" s="32" t="str">
        <f>IFERROR(VLOOKUP(G129,'Taxonomy Sheet'!$A$3:$C$6,2,FALSE),"")</f>
        <v/>
      </c>
      <c r="L129" s="32">
        <f>IFERROR(VLOOKUP(F129,'Taxonomy Sheet'!$E$3:$F$5,2,FALSE),"")</f>
        <v>2</v>
      </c>
      <c r="M129" s="32" t="str">
        <f t="shared" si="1"/>
        <v/>
      </c>
    </row>
    <row r="130" spans="1:13" ht="14.25" customHeight="1" x14ac:dyDescent="0.35">
      <c r="A130" s="2" t="s">
        <v>383</v>
      </c>
      <c r="B130" s="2" t="s">
        <v>14</v>
      </c>
      <c r="C130" s="2" t="s">
        <v>362</v>
      </c>
      <c r="D130" s="2" t="s">
        <v>384</v>
      </c>
      <c r="E130" s="2" t="s">
        <v>385</v>
      </c>
      <c r="F130" s="37" t="s">
        <v>18</v>
      </c>
      <c r="K130" s="32" t="str">
        <f>IFERROR(VLOOKUP(G130,'Taxonomy Sheet'!$A$3:$C$6,2,FALSE),"")</f>
        <v/>
      </c>
      <c r="L130" s="32">
        <f>IFERROR(VLOOKUP(F130,'Taxonomy Sheet'!$E$3:$F$5,2,FALSE),"")</f>
        <v>2</v>
      </c>
      <c r="M130" s="32" t="str">
        <f t="shared" si="1"/>
        <v/>
      </c>
    </row>
    <row r="131" spans="1:13" ht="14.25" customHeight="1" x14ac:dyDescent="0.35">
      <c r="A131" s="2" t="s">
        <v>386</v>
      </c>
      <c r="B131" s="2" t="s">
        <v>14</v>
      </c>
      <c r="C131" s="2" t="s">
        <v>362</v>
      </c>
      <c r="D131" s="2" t="s">
        <v>387</v>
      </c>
      <c r="E131" s="2" t="s">
        <v>388</v>
      </c>
      <c r="F131" s="37" t="s">
        <v>119</v>
      </c>
      <c r="K131" s="32" t="str">
        <f>IFERROR(VLOOKUP(G131,'Taxonomy Sheet'!$A$3:$C$6,2,FALSE),"")</f>
        <v/>
      </c>
      <c r="L131" s="32">
        <f>IFERROR(VLOOKUP(F131,'Taxonomy Sheet'!$E$3:$F$5,2,FALSE),"")</f>
        <v>1.5</v>
      </c>
      <c r="M131" s="32" t="str">
        <f t="shared" si="1"/>
        <v/>
      </c>
    </row>
    <row r="132" spans="1:13" ht="14.25" customHeight="1" x14ac:dyDescent="0.35">
      <c r="A132" s="2" t="s">
        <v>389</v>
      </c>
      <c r="B132" s="2" t="s">
        <v>14</v>
      </c>
      <c r="C132" s="2" t="s">
        <v>362</v>
      </c>
      <c r="D132" s="2" t="s">
        <v>390</v>
      </c>
      <c r="E132" s="2" t="s">
        <v>391</v>
      </c>
      <c r="F132" s="37" t="s">
        <v>119</v>
      </c>
      <c r="K132" s="32" t="str">
        <f>IFERROR(VLOOKUP(G132,'Taxonomy Sheet'!$A$3:$C$6,2,FALSE),"")</f>
        <v/>
      </c>
      <c r="L132" s="32">
        <f>IFERROR(VLOOKUP(F132,'Taxonomy Sheet'!$E$3:$F$5,2,FALSE),"")</f>
        <v>1.5</v>
      </c>
      <c r="M132" s="32" t="str">
        <f t="shared" si="1"/>
        <v/>
      </c>
    </row>
    <row r="133" spans="1:13" ht="14.25" customHeight="1" x14ac:dyDescent="0.35">
      <c r="A133" s="2" t="s">
        <v>392</v>
      </c>
      <c r="B133" s="2" t="s">
        <v>14</v>
      </c>
      <c r="C133" s="2" t="s">
        <v>362</v>
      </c>
      <c r="D133" s="2" t="s">
        <v>393</v>
      </c>
      <c r="E133" s="2" t="s">
        <v>394</v>
      </c>
      <c r="F133" s="37" t="s">
        <v>119</v>
      </c>
      <c r="K133" s="32" t="str">
        <f>IFERROR(VLOOKUP(G133,'Taxonomy Sheet'!$A$3:$C$6,2,FALSE),"")</f>
        <v/>
      </c>
      <c r="L133" s="32">
        <f>IFERROR(VLOOKUP(F133,'Taxonomy Sheet'!$E$3:$F$5,2,FALSE),"")</f>
        <v>1.5</v>
      </c>
      <c r="M133" s="32" t="str">
        <f t="shared" si="1"/>
        <v/>
      </c>
    </row>
    <row r="134" spans="1:13" ht="14.25" customHeight="1" x14ac:dyDescent="0.35">
      <c r="A134" s="2" t="s">
        <v>395</v>
      </c>
      <c r="B134" s="2" t="s">
        <v>14</v>
      </c>
      <c r="C134" s="2" t="s">
        <v>396</v>
      </c>
      <c r="D134" s="2" t="s">
        <v>397</v>
      </c>
      <c r="E134" s="2" t="s">
        <v>398</v>
      </c>
      <c r="F134" s="36" t="s">
        <v>165</v>
      </c>
      <c r="K134" s="32" t="str">
        <f>IFERROR(VLOOKUP(G134,'Taxonomy Sheet'!$A$3:$C$6,2,FALSE),"")</f>
        <v/>
      </c>
      <c r="L134" s="32">
        <f>IFERROR(VLOOKUP(F134,'Taxonomy Sheet'!$E$3:$F$5,2,FALSE),"")</f>
        <v>1</v>
      </c>
      <c r="M134" s="32" t="str">
        <f t="shared" si="1"/>
        <v/>
      </c>
    </row>
    <row r="135" spans="1:13" ht="14.25" customHeight="1" x14ac:dyDescent="0.35">
      <c r="A135" s="2" t="s">
        <v>399</v>
      </c>
      <c r="B135" s="2" t="s">
        <v>14</v>
      </c>
      <c r="C135" s="2" t="s">
        <v>396</v>
      </c>
      <c r="D135" s="2" t="s">
        <v>400</v>
      </c>
      <c r="E135" s="2" t="s">
        <v>401</v>
      </c>
      <c r="F135" s="36" t="s">
        <v>165</v>
      </c>
      <c r="K135" s="32" t="str">
        <f>IFERROR(VLOOKUP(G135,'Taxonomy Sheet'!$A$3:$C$6,2,FALSE),"")</f>
        <v/>
      </c>
      <c r="L135" s="32">
        <f>IFERROR(VLOOKUP(F135,'Taxonomy Sheet'!$E$3:$F$5,2,FALSE),"")</f>
        <v>1</v>
      </c>
      <c r="M135" s="32" t="str">
        <f t="shared" si="1"/>
        <v/>
      </c>
    </row>
    <row r="136" spans="1:13" ht="14.25" customHeight="1" x14ac:dyDescent="0.35">
      <c r="A136" s="2" t="s">
        <v>402</v>
      </c>
      <c r="B136" s="2" t="s">
        <v>14</v>
      </c>
      <c r="C136" s="2" t="s">
        <v>396</v>
      </c>
      <c r="D136" s="2" t="s">
        <v>403</v>
      </c>
      <c r="E136" s="2" t="s">
        <v>404</v>
      </c>
      <c r="F136" s="36" t="s">
        <v>165</v>
      </c>
      <c r="K136" s="32" t="str">
        <f>IFERROR(VLOOKUP(G136,'Taxonomy Sheet'!$A$3:$C$6,2,FALSE),"")</f>
        <v/>
      </c>
      <c r="L136" s="32">
        <f>IFERROR(VLOOKUP(F136,'Taxonomy Sheet'!$E$3:$F$5,2,FALSE),"")</f>
        <v>1</v>
      </c>
      <c r="M136" s="32" t="str">
        <f t="shared" si="1"/>
        <v/>
      </c>
    </row>
    <row r="137" spans="1:13" ht="14.25" customHeight="1" x14ac:dyDescent="0.35">
      <c r="A137" s="2" t="s">
        <v>405</v>
      </c>
      <c r="B137" s="2" t="s">
        <v>14</v>
      </c>
      <c r="C137" s="2" t="s">
        <v>396</v>
      </c>
      <c r="D137" s="2" t="s">
        <v>406</v>
      </c>
      <c r="E137" s="2" t="s">
        <v>407</v>
      </c>
      <c r="F137" s="36" t="s">
        <v>165</v>
      </c>
      <c r="K137" s="32" t="str">
        <f>IFERROR(VLOOKUP(G137,'Taxonomy Sheet'!$A$3:$C$6,2,FALSE),"")</f>
        <v/>
      </c>
      <c r="L137" s="32">
        <f>IFERROR(VLOOKUP(F137,'Taxonomy Sheet'!$E$3:$F$5,2,FALSE),"")</f>
        <v>1</v>
      </c>
      <c r="M137" s="32" t="str">
        <f t="shared" si="1"/>
        <v/>
      </c>
    </row>
    <row r="138" spans="1:13" ht="14.25" customHeight="1" x14ac:dyDescent="0.35">
      <c r="A138" s="2" t="s">
        <v>408</v>
      </c>
      <c r="B138" s="2" t="s">
        <v>14</v>
      </c>
      <c r="C138" s="2" t="s">
        <v>396</v>
      </c>
      <c r="D138" s="2" t="s">
        <v>409</v>
      </c>
      <c r="E138" s="2" t="s">
        <v>410</v>
      </c>
      <c r="F138" s="36" t="s">
        <v>165</v>
      </c>
      <c r="K138" s="32" t="str">
        <f>IFERROR(VLOOKUP(G138,'Taxonomy Sheet'!$A$3:$C$6,2,FALSE),"")</f>
        <v/>
      </c>
      <c r="L138" s="32">
        <f>IFERROR(VLOOKUP(F138,'Taxonomy Sheet'!$E$3:$F$5,2,FALSE),"")</f>
        <v>1</v>
      </c>
      <c r="M138" s="32" t="str">
        <f t="shared" si="1"/>
        <v/>
      </c>
    </row>
    <row r="139" spans="1:13" ht="14.25" customHeight="1" x14ac:dyDescent="0.35">
      <c r="A139" s="2" t="s">
        <v>411</v>
      </c>
      <c r="B139" s="2" t="s">
        <v>14</v>
      </c>
      <c r="C139" s="2" t="s">
        <v>396</v>
      </c>
      <c r="D139" s="2" t="s">
        <v>412</v>
      </c>
      <c r="E139" s="2" t="s">
        <v>413</v>
      </c>
      <c r="F139" s="36" t="s">
        <v>165</v>
      </c>
      <c r="K139" s="32" t="str">
        <f>IFERROR(VLOOKUP(G139,'Taxonomy Sheet'!$A$3:$C$6,2,FALSE),"")</f>
        <v/>
      </c>
      <c r="L139" s="32">
        <f>IFERROR(VLOOKUP(F139,'Taxonomy Sheet'!$E$3:$F$5,2,FALSE),"")</f>
        <v>1</v>
      </c>
      <c r="M139" s="32" t="str">
        <f t="shared" si="1"/>
        <v/>
      </c>
    </row>
    <row r="140" spans="1:13" ht="14.25" customHeight="1" x14ac:dyDescent="0.35">
      <c r="A140" s="2" t="s">
        <v>414</v>
      </c>
      <c r="B140" s="2" t="s">
        <v>14</v>
      </c>
      <c r="C140" s="2" t="s">
        <v>396</v>
      </c>
      <c r="D140" s="2" t="s">
        <v>415</v>
      </c>
      <c r="E140" s="2" t="s">
        <v>416</v>
      </c>
      <c r="F140" s="36" t="s">
        <v>165</v>
      </c>
      <c r="K140" s="32" t="str">
        <f>IFERROR(VLOOKUP(G140,'Taxonomy Sheet'!$A$3:$C$6,2,FALSE),"")</f>
        <v/>
      </c>
      <c r="L140" s="32">
        <f>IFERROR(VLOOKUP(F140,'Taxonomy Sheet'!$E$3:$F$5,2,FALSE),"")</f>
        <v>1</v>
      </c>
      <c r="M140" s="32" t="str">
        <f t="shared" si="1"/>
        <v/>
      </c>
    </row>
    <row r="141" spans="1:13" ht="14.25" customHeight="1" x14ac:dyDescent="0.35">
      <c r="A141" s="2" t="s">
        <v>417</v>
      </c>
      <c r="B141" s="2" t="s">
        <v>14</v>
      </c>
      <c r="C141" s="2" t="s">
        <v>396</v>
      </c>
      <c r="D141" s="2" t="s">
        <v>418</v>
      </c>
      <c r="E141" s="2" t="s">
        <v>419</v>
      </c>
      <c r="F141" s="36" t="s">
        <v>165</v>
      </c>
      <c r="K141" s="32" t="str">
        <f>IFERROR(VLOOKUP(G141,'Taxonomy Sheet'!$A$3:$C$6,2,FALSE),"")</f>
        <v/>
      </c>
      <c r="L141" s="32">
        <f>IFERROR(VLOOKUP(F141,'Taxonomy Sheet'!$E$3:$F$5,2,FALSE),"")</f>
        <v>1</v>
      </c>
      <c r="M141" s="32" t="str">
        <f t="shared" ref="M141:M204" si="2">IF(OR(K141="",L141=""),"",K141*L141)</f>
        <v/>
      </c>
    </row>
    <row r="142" spans="1:13" ht="14.25" customHeight="1" x14ac:dyDescent="0.35">
      <c r="A142" s="2" t="s">
        <v>420</v>
      </c>
      <c r="B142" s="2" t="s">
        <v>14</v>
      </c>
      <c r="C142" s="2" t="s">
        <v>396</v>
      </c>
      <c r="D142" s="2" t="s">
        <v>421</v>
      </c>
      <c r="E142" s="2" t="s">
        <v>422</v>
      </c>
      <c r="F142" s="36" t="s">
        <v>165</v>
      </c>
      <c r="K142" s="32" t="str">
        <f>IFERROR(VLOOKUP(G142,'Taxonomy Sheet'!$A$3:$C$6,2,FALSE),"")</f>
        <v/>
      </c>
      <c r="L142" s="32">
        <f>IFERROR(VLOOKUP(F142,'Taxonomy Sheet'!$E$3:$F$5,2,FALSE),"")</f>
        <v>1</v>
      </c>
      <c r="M142" s="32" t="str">
        <f t="shared" si="2"/>
        <v/>
      </c>
    </row>
    <row r="143" spans="1:13" ht="14.25" customHeight="1" x14ac:dyDescent="0.35">
      <c r="A143" s="2" t="s">
        <v>423</v>
      </c>
      <c r="B143" s="2" t="s">
        <v>424</v>
      </c>
      <c r="C143" s="2" t="s">
        <v>425</v>
      </c>
      <c r="D143" s="2" t="s">
        <v>426</v>
      </c>
      <c r="E143" s="38" t="s">
        <v>427</v>
      </c>
      <c r="F143" s="37" t="s">
        <v>119</v>
      </c>
      <c r="K143" s="32" t="str">
        <f>IFERROR(VLOOKUP(G143,'Taxonomy Sheet'!$A$3:$C$6,2,FALSE),"")</f>
        <v/>
      </c>
      <c r="L143" s="32">
        <f>IFERROR(VLOOKUP(F143,'Taxonomy Sheet'!$E$3:$F$5,2,FALSE),"")</f>
        <v>1.5</v>
      </c>
      <c r="M143" s="32" t="str">
        <f t="shared" si="2"/>
        <v/>
      </c>
    </row>
    <row r="144" spans="1:13" ht="14.25" customHeight="1" x14ac:dyDescent="0.35">
      <c r="A144" s="2" t="s">
        <v>428</v>
      </c>
      <c r="B144" s="2" t="s">
        <v>424</v>
      </c>
      <c r="C144" s="2" t="s">
        <v>425</v>
      </c>
      <c r="D144" s="2" t="s">
        <v>429</v>
      </c>
      <c r="E144" s="38" t="s">
        <v>430</v>
      </c>
      <c r="F144" s="37" t="s">
        <v>119</v>
      </c>
      <c r="K144" s="32" t="str">
        <f>IFERROR(VLOOKUP(G144,'Taxonomy Sheet'!$A$3:$C$6,2,FALSE),"")</f>
        <v/>
      </c>
      <c r="L144" s="32">
        <f>IFERROR(VLOOKUP(F144,'Taxonomy Sheet'!$E$3:$F$5,2,FALSE),"")</f>
        <v>1.5</v>
      </c>
      <c r="M144" s="32" t="str">
        <f t="shared" si="2"/>
        <v/>
      </c>
    </row>
    <row r="145" spans="1:13" ht="14.25" customHeight="1" x14ac:dyDescent="0.35">
      <c r="A145" s="2" t="s">
        <v>431</v>
      </c>
      <c r="B145" s="2" t="s">
        <v>424</v>
      </c>
      <c r="C145" s="2" t="s">
        <v>425</v>
      </c>
      <c r="D145" s="2" t="s">
        <v>432</v>
      </c>
      <c r="E145" s="38" t="s">
        <v>433</v>
      </c>
      <c r="F145" s="37" t="s">
        <v>119</v>
      </c>
      <c r="K145" s="32" t="str">
        <f>IFERROR(VLOOKUP(G145,'Taxonomy Sheet'!$A$3:$C$6,2,FALSE),"")</f>
        <v/>
      </c>
      <c r="L145" s="32">
        <f>IFERROR(VLOOKUP(F145,'Taxonomy Sheet'!$E$3:$F$5,2,FALSE),"")</f>
        <v>1.5</v>
      </c>
      <c r="M145" s="32" t="str">
        <f t="shared" si="2"/>
        <v/>
      </c>
    </row>
    <row r="146" spans="1:13" ht="14.25" customHeight="1" x14ac:dyDescent="0.35">
      <c r="A146" s="2" t="s">
        <v>434</v>
      </c>
      <c r="B146" s="2" t="s">
        <v>424</v>
      </c>
      <c r="C146" s="2" t="s">
        <v>425</v>
      </c>
      <c r="D146" s="2" t="s">
        <v>435</v>
      </c>
      <c r="E146" s="38" t="s">
        <v>436</v>
      </c>
      <c r="F146" s="37" t="s">
        <v>119</v>
      </c>
      <c r="K146" s="32" t="str">
        <f>IFERROR(VLOOKUP(G146,'Taxonomy Sheet'!$A$3:$C$6,2,FALSE),"")</f>
        <v/>
      </c>
      <c r="L146" s="32">
        <f>IFERROR(VLOOKUP(F146,'Taxonomy Sheet'!$E$3:$F$5,2,FALSE),"")</f>
        <v>1.5</v>
      </c>
      <c r="M146" s="32" t="str">
        <f t="shared" si="2"/>
        <v/>
      </c>
    </row>
    <row r="147" spans="1:13" ht="14.25" customHeight="1" x14ac:dyDescent="0.35">
      <c r="A147" s="2" t="s">
        <v>437</v>
      </c>
      <c r="B147" s="2" t="s">
        <v>424</v>
      </c>
      <c r="C147" s="2" t="s">
        <v>425</v>
      </c>
      <c r="D147" s="2" t="s">
        <v>438</v>
      </c>
      <c r="E147" s="38" t="s">
        <v>439</v>
      </c>
      <c r="F147" s="37" t="s">
        <v>119</v>
      </c>
      <c r="K147" s="32" t="str">
        <f>IFERROR(VLOOKUP(G147,'Taxonomy Sheet'!$A$3:$C$6,2,FALSE),"")</f>
        <v/>
      </c>
      <c r="L147" s="32">
        <f>IFERROR(VLOOKUP(F147,'Taxonomy Sheet'!$E$3:$F$5,2,FALSE),"")</f>
        <v>1.5</v>
      </c>
      <c r="M147" s="32" t="str">
        <f t="shared" si="2"/>
        <v/>
      </c>
    </row>
    <row r="148" spans="1:13" ht="14.25" customHeight="1" x14ac:dyDescent="0.35">
      <c r="A148" s="2" t="s">
        <v>440</v>
      </c>
      <c r="B148" s="2" t="s">
        <v>424</v>
      </c>
      <c r="C148" s="2" t="s">
        <v>425</v>
      </c>
      <c r="D148" s="2" t="s">
        <v>441</v>
      </c>
      <c r="E148" s="38" t="s">
        <v>442</v>
      </c>
      <c r="F148" s="37" t="s">
        <v>119</v>
      </c>
      <c r="K148" s="32" t="str">
        <f>IFERROR(VLOOKUP(G148,'Taxonomy Sheet'!$A$3:$C$6,2,FALSE),"")</f>
        <v/>
      </c>
      <c r="L148" s="32">
        <f>IFERROR(VLOOKUP(F148,'Taxonomy Sheet'!$E$3:$F$5,2,FALSE),"")</f>
        <v>1.5</v>
      </c>
      <c r="M148" s="32" t="str">
        <f t="shared" si="2"/>
        <v/>
      </c>
    </row>
    <row r="149" spans="1:13" ht="14.25" customHeight="1" x14ac:dyDescent="0.35">
      <c r="A149" s="2" t="s">
        <v>443</v>
      </c>
      <c r="B149" s="2" t="s">
        <v>424</v>
      </c>
      <c r="C149" s="2" t="s">
        <v>425</v>
      </c>
      <c r="D149" s="2" t="s">
        <v>444</v>
      </c>
      <c r="E149" s="38" t="s">
        <v>445</v>
      </c>
      <c r="F149" s="37" t="s">
        <v>119</v>
      </c>
      <c r="K149" s="32" t="str">
        <f>IFERROR(VLOOKUP(G149,'Taxonomy Sheet'!$A$3:$C$6,2,FALSE),"")</f>
        <v/>
      </c>
      <c r="L149" s="32">
        <f>IFERROR(VLOOKUP(F149,'Taxonomy Sheet'!$E$3:$F$5,2,FALSE),"")</f>
        <v>1.5</v>
      </c>
      <c r="M149" s="32" t="str">
        <f t="shared" si="2"/>
        <v/>
      </c>
    </row>
    <row r="150" spans="1:13" ht="14.25" customHeight="1" x14ac:dyDescent="0.35">
      <c r="A150" s="2" t="s">
        <v>446</v>
      </c>
      <c r="B150" s="2" t="s">
        <v>424</v>
      </c>
      <c r="C150" s="2" t="s">
        <v>425</v>
      </c>
      <c r="D150" s="2" t="s">
        <v>447</v>
      </c>
      <c r="E150" s="38" t="s">
        <v>448</v>
      </c>
      <c r="F150" s="37" t="s">
        <v>119</v>
      </c>
      <c r="K150" s="32" t="str">
        <f>IFERROR(VLOOKUP(G150,'Taxonomy Sheet'!$A$3:$C$6,2,FALSE),"")</f>
        <v/>
      </c>
      <c r="L150" s="32">
        <f>IFERROR(VLOOKUP(F150,'Taxonomy Sheet'!$E$3:$F$5,2,FALSE),"")</f>
        <v>1.5</v>
      </c>
      <c r="M150" s="32" t="str">
        <f t="shared" si="2"/>
        <v/>
      </c>
    </row>
    <row r="151" spans="1:13" ht="14.25" customHeight="1" x14ac:dyDescent="0.35">
      <c r="A151" s="2" t="s">
        <v>449</v>
      </c>
      <c r="B151" s="2" t="s">
        <v>424</v>
      </c>
      <c r="C151" s="2" t="s">
        <v>425</v>
      </c>
      <c r="D151" s="2" t="s">
        <v>450</v>
      </c>
      <c r="E151" s="2" t="s">
        <v>451</v>
      </c>
      <c r="F151" s="37" t="s">
        <v>119</v>
      </c>
      <c r="K151" s="32" t="str">
        <f>IFERROR(VLOOKUP(G151,'Taxonomy Sheet'!$A$3:$C$6,2,FALSE),"")</f>
        <v/>
      </c>
      <c r="L151" s="32">
        <f>IFERROR(VLOOKUP(F151,'Taxonomy Sheet'!$E$3:$F$5,2,FALSE),"")</f>
        <v>1.5</v>
      </c>
      <c r="M151" s="32" t="str">
        <f t="shared" si="2"/>
        <v/>
      </c>
    </row>
    <row r="152" spans="1:13" ht="14.25" customHeight="1" x14ac:dyDescent="0.35">
      <c r="A152" s="2" t="s">
        <v>452</v>
      </c>
      <c r="B152" s="2" t="s">
        <v>424</v>
      </c>
      <c r="C152" s="2" t="s">
        <v>425</v>
      </c>
      <c r="D152" s="2" t="s">
        <v>453</v>
      </c>
      <c r="E152" s="2" t="s">
        <v>454</v>
      </c>
      <c r="F152" s="37" t="s">
        <v>119</v>
      </c>
      <c r="K152" s="32" t="str">
        <f>IFERROR(VLOOKUP(G152,'Taxonomy Sheet'!$A$3:$C$6,2,FALSE),"")</f>
        <v/>
      </c>
      <c r="L152" s="32">
        <f>IFERROR(VLOOKUP(F152,'Taxonomy Sheet'!$E$3:$F$5,2,FALSE),"")</f>
        <v>1.5</v>
      </c>
      <c r="M152" s="32" t="str">
        <f t="shared" si="2"/>
        <v/>
      </c>
    </row>
    <row r="153" spans="1:13" ht="14.25" customHeight="1" x14ac:dyDescent="0.35">
      <c r="A153" s="2" t="s">
        <v>455</v>
      </c>
      <c r="B153" s="2" t="s">
        <v>424</v>
      </c>
      <c r="C153" s="2" t="s">
        <v>425</v>
      </c>
      <c r="D153" s="2" t="s">
        <v>456</v>
      </c>
      <c r="E153" s="2" t="s">
        <v>457</v>
      </c>
      <c r="F153" s="37" t="s">
        <v>119</v>
      </c>
      <c r="K153" s="32" t="str">
        <f>IFERROR(VLOOKUP(G153,'Taxonomy Sheet'!$A$3:$C$6,2,FALSE),"")</f>
        <v/>
      </c>
      <c r="L153" s="32">
        <f>IFERROR(VLOOKUP(F153,'Taxonomy Sheet'!$E$3:$F$5,2,FALSE),"")</f>
        <v>1.5</v>
      </c>
      <c r="M153" s="32" t="str">
        <f t="shared" si="2"/>
        <v/>
      </c>
    </row>
    <row r="154" spans="1:13" ht="14.25" customHeight="1" x14ac:dyDescent="0.35">
      <c r="A154" s="2" t="s">
        <v>458</v>
      </c>
      <c r="B154" s="2" t="s">
        <v>424</v>
      </c>
      <c r="C154" s="2" t="s">
        <v>425</v>
      </c>
      <c r="D154" s="2" t="s">
        <v>459</v>
      </c>
      <c r="E154" s="2" t="s">
        <v>460</v>
      </c>
      <c r="F154" s="37" t="s">
        <v>119</v>
      </c>
      <c r="K154" s="32" t="str">
        <f>IFERROR(VLOOKUP(G154,'Taxonomy Sheet'!$A$3:$C$6,2,FALSE),"")</f>
        <v/>
      </c>
      <c r="L154" s="32">
        <f>IFERROR(VLOOKUP(F154,'Taxonomy Sheet'!$E$3:$F$5,2,FALSE),"")</f>
        <v>1.5</v>
      </c>
      <c r="M154" s="32" t="str">
        <f t="shared" si="2"/>
        <v/>
      </c>
    </row>
    <row r="155" spans="1:13" ht="14.25" customHeight="1" x14ac:dyDescent="0.35">
      <c r="A155" s="2" t="s">
        <v>461</v>
      </c>
      <c r="B155" s="2" t="s">
        <v>424</v>
      </c>
      <c r="C155" s="2" t="s">
        <v>462</v>
      </c>
      <c r="D155" s="2" t="s">
        <v>463</v>
      </c>
      <c r="E155" s="2" t="s">
        <v>464</v>
      </c>
      <c r="F155" s="37" t="s">
        <v>18</v>
      </c>
      <c r="K155" s="32" t="str">
        <f>IFERROR(VLOOKUP(G155,'Taxonomy Sheet'!$A$3:$C$6,2,FALSE),"")</f>
        <v/>
      </c>
      <c r="L155" s="32">
        <f>IFERROR(VLOOKUP(F155,'Taxonomy Sheet'!$E$3:$F$5,2,FALSE),"")</f>
        <v>2</v>
      </c>
      <c r="M155" s="32" t="str">
        <f t="shared" si="2"/>
        <v/>
      </c>
    </row>
    <row r="156" spans="1:13" ht="14.25" customHeight="1" x14ac:dyDescent="0.35">
      <c r="A156" s="2" t="s">
        <v>465</v>
      </c>
      <c r="B156" s="2" t="s">
        <v>424</v>
      </c>
      <c r="C156" s="2" t="s">
        <v>462</v>
      </c>
      <c r="D156" s="2" t="s">
        <v>466</v>
      </c>
      <c r="E156" s="2" t="s">
        <v>467</v>
      </c>
      <c r="F156" s="37" t="s">
        <v>18</v>
      </c>
      <c r="K156" s="32" t="str">
        <f>IFERROR(VLOOKUP(G156,'Taxonomy Sheet'!$A$3:$C$6,2,FALSE),"")</f>
        <v/>
      </c>
      <c r="L156" s="32">
        <f>IFERROR(VLOOKUP(F156,'Taxonomy Sheet'!$E$3:$F$5,2,FALSE),"")</f>
        <v>2</v>
      </c>
      <c r="M156" s="32" t="str">
        <f t="shared" si="2"/>
        <v/>
      </c>
    </row>
    <row r="157" spans="1:13" ht="14.25" customHeight="1" x14ac:dyDescent="0.35">
      <c r="A157" s="2" t="s">
        <v>468</v>
      </c>
      <c r="B157" s="2" t="s">
        <v>424</v>
      </c>
      <c r="C157" s="2" t="s">
        <v>462</v>
      </c>
      <c r="D157" s="2" t="s">
        <v>469</v>
      </c>
      <c r="E157" s="2" t="s">
        <v>470</v>
      </c>
      <c r="F157" s="37" t="s">
        <v>18</v>
      </c>
      <c r="K157" s="32" t="str">
        <f>IFERROR(VLOOKUP(G157,'Taxonomy Sheet'!$A$3:$C$6,2,FALSE),"")</f>
        <v/>
      </c>
      <c r="L157" s="32">
        <f>IFERROR(VLOOKUP(F157,'Taxonomy Sheet'!$E$3:$F$5,2,FALSE),"")</f>
        <v>2</v>
      </c>
      <c r="M157" s="32" t="str">
        <f t="shared" si="2"/>
        <v/>
      </c>
    </row>
    <row r="158" spans="1:13" ht="14.25" customHeight="1" x14ac:dyDescent="0.35">
      <c r="A158" s="2" t="s">
        <v>471</v>
      </c>
      <c r="B158" s="2" t="s">
        <v>424</v>
      </c>
      <c r="C158" s="2" t="s">
        <v>462</v>
      </c>
      <c r="D158" s="2" t="s">
        <v>472</v>
      </c>
      <c r="E158" s="2" t="s">
        <v>473</v>
      </c>
      <c r="F158" s="37" t="s">
        <v>18</v>
      </c>
      <c r="K158" s="32" t="str">
        <f>IFERROR(VLOOKUP(G158,'Taxonomy Sheet'!$A$3:$C$6,2,FALSE),"")</f>
        <v/>
      </c>
      <c r="L158" s="32">
        <f>IFERROR(VLOOKUP(F158,'Taxonomy Sheet'!$E$3:$F$5,2,FALSE),"")</f>
        <v>2</v>
      </c>
      <c r="M158" s="32" t="str">
        <f t="shared" si="2"/>
        <v/>
      </c>
    </row>
    <row r="159" spans="1:13" ht="14.25" customHeight="1" x14ac:dyDescent="0.35">
      <c r="A159" s="2" t="s">
        <v>474</v>
      </c>
      <c r="B159" s="2" t="s">
        <v>424</v>
      </c>
      <c r="C159" s="2" t="s">
        <v>462</v>
      </c>
      <c r="D159" s="2" t="s">
        <v>475</v>
      </c>
      <c r="E159" s="2" t="s">
        <v>476</v>
      </c>
      <c r="F159" s="37" t="s">
        <v>18</v>
      </c>
      <c r="K159" s="32" t="str">
        <f>IFERROR(VLOOKUP(G159,'Taxonomy Sheet'!$A$3:$C$6,2,FALSE),"")</f>
        <v/>
      </c>
      <c r="L159" s="32">
        <f>IFERROR(VLOOKUP(F159,'Taxonomy Sheet'!$E$3:$F$5,2,FALSE),"")</f>
        <v>2</v>
      </c>
      <c r="M159" s="32" t="str">
        <f t="shared" si="2"/>
        <v/>
      </c>
    </row>
    <row r="160" spans="1:13" ht="14.25" customHeight="1" x14ac:dyDescent="0.35">
      <c r="A160" s="2" t="s">
        <v>477</v>
      </c>
      <c r="B160" s="2" t="s">
        <v>424</v>
      </c>
      <c r="C160" s="2" t="s">
        <v>462</v>
      </c>
      <c r="D160" s="2" t="s">
        <v>478</v>
      </c>
      <c r="E160" s="2" t="s">
        <v>479</v>
      </c>
      <c r="F160" s="37" t="s">
        <v>18</v>
      </c>
      <c r="K160" s="32" t="str">
        <f>IFERROR(VLOOKUP(G160,'Taxonomy Sheet'!$A$3:$C$6,2,FALSE),"")</f>
        <v/>
      </c>
      <c r="L160" s="32">
        <f>IFERROR(VLOOKUP(F160,'Taxonomy Sheet'!$E$3:$F$5,2,FALSE),"")</f>
        <v>2</v>
      </c>
      <c r="M160" s="32" t="str">
        <f t="shared" si="2"/>
        <v/>
      </c>
    </row>
    <row r="161" spans="1:13" ht="14.25" customHeight="1" x14ac:dyDescent="0.35">
      <c r="A161" s="2" t="s">
        <v>480</v>
      </c>
      <c r="B161" s="2" t="s">
        <v>424</v>
      </c>
      <c r="C161" s="2" t="s">
        <v>462</v>
      </c>
      <c r="D161" s="2" t="s">
        <v>481</v>
      </c>
      <c r="E161" s="2" t="s">
        <v>482</v>
      </c>
      <c r="F161" s="37" t="s">
        <v>18</v>
      </c>
      <c r="K161" s="32" t="str">
        <f>IFERROR(VLOOKUP(G161,'Taxonomy Sheet'!$A$3:$C$6,2,FALSE),"")</f>
        <v/>
      </c>
      <c r="L161" s="32">
        <f>IFERROR(VLOOKUP(F161,'Taxonomy Sheet'!$E$3:$F$5,2,FALSE),"")</f>
        <v>2</v>
      </c>
      <c r="M161" s="32" t="str">
        <f t="shared" si="2"/>
        <v/>
      </c>
    </row>
    <row r="162" spans="1:13" ht="14.25" customHeight="1" x14ac:dyDescent="0.35">
      <c r="A162" s="2" t="s">
        <v>483</v>
      </c>
      <c r="B162" s="2" t="s">
        <v>424</v>
      </c>
      <c r="C162" s="2" t="s">
        <v>462</v>
      </c>
      <c r="D162" s="2" t="s">
        <v>484</v>
      </c>
      <c r="E162" s="2" t="s">
        <v>485</v>
      </c>
      <c r="F162" s="37" t="s">
        <v>18</v>
      </c>
      <c r="K162" s="32" t="str">
        <f>IFERROR(VLOOKUP(G162,'Taxonomy Sheet'!$A$3:$C$6,2,FALSE),"")</f>
        <v/>
      </c>
      <c r="L162" s="32">
        <f>IFERROR(VLOOKUP(F162,'Taxonomy Sheet'!$E$3:$F$5,2,FALSE),"")</f>
        <v>2</v>
      </c>
      <c r="M162" s="32" t="str">
        <f t="shared" si="2"/>
        <v/>
      </c>
    </row>
    <row r="163" spans="1:13" ht="14.25" customHeight="1" x14ac:dyDescent="0.35">
      <c r="A163" s="2" t="s">
        <v>486</v>
      </c>
      <c r="B163" s="2" t="s">
        <v>424</v>
      </c>
      <c r="C163" s="2" t="s">
        <v>462</v>
      </c>
      <c r="D163" s="2" t="s">
        <v>487</v>
      </c>
      <c r="E163" s="2" t="s">
        <v>488</v>
      </c>
      <c r="F163" s="37" t="s">
        <v>18</v>
      </c>
      <c r="K163" s="32" t="str">
        <f>IFERROR(VLOOKUP(G163,'Taxonomy Sheet'!$A$3:$C$6,2,FALSE),"")</f>
        <v/>
      </c>
      <c r="L163" s="32">
        <f>IFERROR(VLOOKUP(F163,'Taxonomy Sheet'!$E$3:$F$5,2,FALSE),"")</f>
        <v>2</v>
      </c>
      <c r="M163" s="32" t="str">
        <f t="shared" si="2"/>
        <v/>
      </c>
    </row>
    <row r="164" spans="1:13" ht="14.25" customHeight="1" x14ac:dyDescent="0.35">
      <c r="A164" s="2" t="s">
        <v>489</v>
      </c>
      <c r="B164" s="2" t="s">
        <v>424</v>
      </c>
      <c r="C164" s="2" t="s">
        <v>462</v>
      </c>
      <c r="D164" s="2" t="s">
        <v>490</v>
      </c>
      <c r="E164" s="2" t="s">
        <v>491</v>
      </c>
      <c r="F164" s="37" t="s">
        <v>18</v>
      </c>
      <c r="K164" s="32" t="str">
        <f>IFERROR(VLOOKUP(G164,'Taxonomy Sheet'!$A$3:$C$6,2,FALSE),"")</f>
        <v/>
      </c>
      <c r="L164" s="32">
        <f>IFERROR(VLOOKUP(F164,'Taxonomy Sheet'!$E$3:$F$5,2,FALSE),"")</f>
        <v>2</v>
      </c>
      <c r="M164" s="32" t="str">
        <f t="shared" si="2"/>
        <v/>
      </c>
    </row>
    <row r="165" spans="1:13" ht="14.25" customHeight="1" x14ac:dyDescent="0.35">
      <c r="A165" s="2" t="s">
        <v>492</v>
      </c>
      <c r="B165" s="2" t="s">
        <v>424</v>
      </c>
      <c r="C165" s="2" t="s">
        <v>462</v>
      </c>
      <c r="D165" s="2" t="s">
        <v>493</v>
      </c>
      <c r="E165" s="2" t="s">
        <v>494</v>
      </c>
      <c r="F165" s="37" t="s">
        <v>18</v>
      </c>
      <c r="K165" s="32" t="str">
        <f>IFERROR(VLOOKUP(G165,'Taxonomy Sheet'!$A$3:$C$6,2,FALSE),"")</f>
        <v/>
      </c>
      <c r="L165" s="32">
        <f>IFERROR(VLOOKUP(F165,'Taxonomy Sheet'!$E$3:$F$5,2,FALSE),"")</f>
        <v>2</v>
      </c>
      <c r="M165" s="32" t="str">
        <f t="shared" si="2"/>
        <v/>
      </c>
    </row>
    <row r="166" spans="1:13" ht="14.25" customHeight="1" x14ac:dyDescent="0.35">
      <c r="A166" s="2" t="s">
        <v>495</v>
      </c>
      <c r="B166" s="2" t="s">
        <v>424</v>
      </c>
      <c r="C166" s="2" t="s">
        <v>462</v>
      </c>
      <c r="D166" s="2" t="s">
        <v>496</v>
      </c>
      <c r="E166" s="2" t="s">
        <v>497</v>
      </c>
      <c r="F166" s="37" t="s">
        <v>18</v>
      </c>
      <c r="K166" s="32" t="str">
        <f>IFERROR(VLOOKUP(G166,'Taxonomy Sheet'!$A$3:$C$6,2,FALSE),"")</f>
        <v/>
      </c>
      <c r="L166" s="32">
        <f>IFERROR(VLOOKUP(F166,'Taxonomy Sheet'!$E$3:$F$5,2,FALSE),"")</f>
        <v>2</v>
      </c>
      <c r="M166" s="32" t="str">
        <f t="shared" si="2"/>
        <v/>
      </c>
    </row>
    <row r="167" spans="1:13" ht="14.25" customHeight="1" x14ac:dyDescent="0.35">
      <c r="A167" s="2" t="s">
        <v>498</v>
      </c>
      <c r="B167" s="2" t="s">
        <v>424</v>
      </c>
      <c r="C167" s="2" t="s">
        <v>462</v>
      </c>
      <c r="D167" s="2" t="s">
        <v>499</v>
      </c>
      <c r="E167" s="2" t="s">
        <v>500</v>
      </c>
      <c r="F167" s="37" t="s">
        <v>18</v>
      </c>
      <c r="K167" s="32" t="str">
        <f>IFERROR(VLOOKUP(G167,'Taxonomy Sheet'!$A$3:$C$6,2,FALSE),"")</f>
        <v/>
      </c>
      <c r="L167" s="32">
        <f>IFERROR(VLOOKUP(F167,'Taxonomy Sheet'!$E$3:$F$5,2,FALSE),"")</f>
        <v>2</v>
      </c>
      <c r="M167" s="32" t="str">
        <f t="shared" si="2"/>
        <v/>
      </c>
    </row>
    <row r="168" spans="1:13" ht="14.25" customHeight="1" x14ac:dyDescent="0.35">
      <c r="A168" s="2" t="s">
        <v>501</v>
      </c>
      <c r="B168" s="2" t="s">
        <v>424</v>
      </c>
      <c r="C168" s="2" t="s">
        <v>502</v>
      </c>
      <c r="D168" s="2" t="s">
        <v>503</v>
      </c>
      <c r="E168" s="2" t="s">
        <v>504</v>
      </c>
      <c r="F168" s="37" t="s">
        <v>18</v>
      </c>
      <c r="K168" s="32" t="str">
        <f>IFERROR(VLOOKUP(G168,'Taxonomy Sheet'!$A$3:$C$6,2,FALSE),"")</f>
        <v/>
      </c>
      <c r="L168" s="32">
        <f>IFERROR(VLOOKUP(F168,'Taxonomy Sheet'!$E$3:$F$5,2,FALSE),"")</f>
        <v>2</v>
      </c>
      <c r="M168" s="32" t="str">
        <f t="shared" si="2"/>
        <v/>
      </c>
    </row>
    <row r="169" spans="1:13" ht="14.25" customHeight="1" x14ac:dyDescent="0.35">
      <c r="A169" s="2" t="s">
        <v>505</v>
      </c>
      <c r="B169" s="2" t="s">
        <v>424</v>
      </c>
      <c r="C169" s="2" t="s">
        <v>502</v>
      </c>
      <c r="D169" s="2" t="s">
        <v>506</v>
      </c>
      <c r="E169" s="2" t="s">
        <v>507</v>
      </c>
      <c r="F169" s="37" t="s">
        <v>18</v>
      </c>
      <c r="K169" s="32" t="str">
        <f>IFERROR(VLOOKUP(G169,'Taxonomy Sheet'!$A$3:$C$6,2,FALSE),"")</f>
        <v/>
      </c>
      <c r="L169" s="32">
        <f>IFERROR(VLOOKUP(F169,'Taxonomy Sheet'!$E$3:$F$5,2,FALSE),"")</f>
        <v>2</v>
      </c>
      <c r="M169" s="32" t="str">
        <f t="shared" si="2"/>
        <v/>
      </c>
    </row>
    <row r="170" spans="1:13" ht="14.25" customHeight="1" x14ac:dyDescent="0.35">
      <c r="A170" s="2" t="s">
        <v>508</v>
      </c>
      <c r="B170" s="2" t="s">
        <v>424</v>
      </c>
      <c r="C170" s="2" t="s">
        <v>509</v>
      </c>
      <c r="D170" s="2" t="s">
        <v>510</v>
      </c>
      <c r="E170" s="2" t="s">
        <v>511</v>
      </c>
      <c r="F170" s="37" t="s">
        <v>119</v>
      </c>
      <c r="K170" s="32" t="str">
        <f>IFERROR(VLOOKUP(G170,'Taxonomy Sheet'!$A$3:$C$6,2,FALSE),"")</f>
        <v/>
      </c>
      <c r="L170" s="32">
        <f>IFERROR(VLOOKUP(F170,'Taxonomy Sheet'!$E$3:$F$5,2,FALSE),"")</f>
        <v>1.5</v>
      </c>
      <c r="M170" s="32" t="str">
        <f t="shared" si="2"/>
        <v/>
      </c>
    </row>
    <row r="171" spans="1:13" ht="14.25" customHeight="1" x14ac:dyDescent="0.35">
      <c r="A171" s="2" t="s">
        <v>512</v>
      </c>
      <c r="B171" s="2" t="s">
        <v>424</v>
      </c>
      <c r="C171" s="2" t="s">
        <v>509</v>
      </c>
      <c r="D171" s="2" t="s">
        <v>513</v>
      </c>
      <c r="E171" s="2" t="s">
        <v>514</v>
      </c>
      <c r="F171" s="37" t="s">
        <v>119</v>
      </c>
      <c r="K171" s="32" t="str">
        <f>IFERROR(VLOOKUP(G171,'Taxonomy Sheet'!$A$3:$C$6,2,FALSE),"")</f>
        <v/>
      </c>
      <c r="L171" s="32">
        <f>IFERROR(VLOOKUP(F171,'Taxonomy Sheet'!$E$3:$F$5,2,FALSE),"")</f>
        <v>1.5</v>
      </c>
      <c r="M171" s="32" t="str">
        <f t="shared" si="2"/>
        <v/>
      </c>
    </row>
    <row r="172" spans="1:13" ht="14.25" customHeight="1" x14ac:dyDescent="0.35">
      <c r="A172" s="2" t="s">
        <v>515</v>
      </c>
      <c r="B172" s="2" t="s">
        <v>424</v>
      </c>
      <c r="C172" s="2" t="s">
        <v>509</v>
      </c>
      <c r="D172" s="2" t="s">
        <v>516</v>
      </c>
      <c r="E172" s="2" t="s">
        <v>517</v>
      </c>
      <c r="F172" s="37" t="s">
        <v>119</v>
      </c>
      <c r="K172" s="32" t="str">
        <f>IFERROR(VLOOKUP(G172,'Taxonomy Sheet'!$A$3:$C$6,2,FALSE),"")</f>
        <v/>
      </c>
      <c r="L172" s="32">
        <f>IFERROR(VLOOKUP(F172,'Taxonomy Sheet'!$E$3:$F$5,2,FALSE),"")</f>
        <v>1.5</v>
      </c>
      <c r="M172" s="32" t="str">
        <f t="shared" si="2"/>
        <v/>
      </c>
    </row>
    <row r="173" spans="1:13" ht="14.25" customHeight="1" x14ac:dyDescent="0.35">
      <c r="A173" s="2" t="s">
        <v>518</v>
      </c>
      <c r="B173" s="2" t="s">
        <v>424</v>
      </c>
      <c r="C173" s="2" t="s">
        <v>509</v>
      </c>
      <c r="D173" s="2" t="s">
        <v>519</v>
      </c>
      <c r="E173" s="2" t="s">
        <v>520</v>
      </c>
      <c r="F173" s="37" t="s">
        <v>119</v>
      </c>
      <c r="K173" s="32" t="str">
        <f>IFERROR(VLOOKUP(G173,'Taxonomy Sheet'!$A$3:$C$6,2,FALSE),"")</f>
        <v/>
      </c>
      <c r="L173" s="32">
        <f>IFERROR(VLOOKUP(F173,'Taxonomy Sheet'!$E$3:$F$5,2,FALSE),"")</f>
        <v>1.5</v>
      </c>
      <c r="M173" s="32" t="str">
        <f t="shared" si="2"/>
        <v/>
      </c>
    </row>
    <row r="174" spans="1:13" ht="14.25" customHeight="1" x14ac:dyDescent="0.35">
      <c r="A174" s="2" t="s">
        <v>521</v>
      </c>
      <c r="B174" s="2" t="s">
        <v>424</v>
      </c>
      <c r="C174" s="2" t="s">
        <v>509</v>
      </c>
      <c r="D174" s="2" t="s">
        <v>522</v>
      </c>
      <c r="E174" s="2" t="s">
        <v>523</v>
      </c>
      <c r="F174" s="37" t="s">
        <v>119</v>
      </c>
      <c r="K174" s="32" t="str">
        <f>IFERROR(VLOOKUP(G174,'Taxonomy Sheet'!$A$3:$C$6,2,FALSE),"")</f>
        <v/>
      </c>
      <c r="L174" s="32">
        <f>IFERROR(VLOOKUP(F174,'Taxonomy Sheet'!$E$3:$F$5,2,FALSE),"")</f>
        <v>1.5</v>
      </c>
      <c r="M174" s="32" t="str">
        <f t="shared" si="2"/>
        <v/>
      </c>
    </row>
    <row r="175" spans="1:13" ht="14.25" customHeight="1" x14ac:dyDescent="0.35">
      <c r="A175" s="2" t="s">
        <v>524</v>
      </c>
      <c r="B175" s="2" t="s">
        <v>424</v>
      </c>
      <c r="C175" s="2" t="s">
        <v>525</v>
      </c>
      <c r="D175" s="2" t="s">
        <v>526</v>
      </c>
      <c r="E175" s="2" t="s">
        <v>527</v>
      </c>
      <c r="F175" s="37" t="s">
        <v>119</v>
      </c>
      <c r="K175" s="32" t="str">
        <f>IFERROR(VLOOKUP(G175,'Taxonomy Sheet'!$A$3:$C$6,2,FALSE),"")</f>
        <v/>
      </c>
      <c r="L175" s="32">
        <f>IFERROR(VLOOKUP(F175,'Taxonomy Sheet'!$E$3:$F$5,2,FALSE),"")</f>
        <v>1.5</v>
      </c>
      <c r="M175" s="32" t="str">
        <f t="shared" si="2"/>
        <v/>
      </c>
    </row>
    <row r="176" spans="1:13" ht="14.25" customHeight="1" x14ac:dyDescent="0.35">
      <c r="A176" s="2" t="s">
        <v>528</v>
      </c>
      <c r="B176" s="2" t="s">
        <v>424</v>
      </c>
      <c r="C176" s="2" t="s">
        <v>525</v>
      </c>
      <c r="D176" s="2" t="s">
        <v>529</v>
      </c>
      <c r="E176" s="2" t="s">
        <v>530</v>
      </c>
      <c r="F176" s="37" t="s">
        <v>119</v>
      </c>
      <c r="K176" s="32" t="str">
        <f>IFERROR(VLOOKUP(G176,'Taxonomy Sheet'!$A$3:$C$6,2,FALSE),"")</f>
        <v/>
      </c>
      <c r="L176" s="32">
        <f>IFERROR(VLOOKUP(F176,'Taxonomy Sheet'!$E$3:$F$5,2,FALSE),"")</f>
        <v>1.5</v>
      </c>
      <c r="M176" s="32" t="str">
        <f t="shared" si="2"/>
        <v/>
      </c>
    </row>
    <row r="177" spans="1:13" ht="14.25" customHeight="1" x14ac:dyDescent="0.35">
      <c r="A177" s="2" t="s">
        <v>531</v>
      </c>
      <c r="B177" s="2" t="s">
        <v>424</v>
      </c>
      <c r="C177" s="2" t="s">
        <v>509</v>
      </c>
      <c r="D177" s="2" t="s">
        <v>532</v>
      </c>
      <c r="E177" s="2" t="s">
        <v>533</v>
      </c>
      <c r="F177" s="37" t="s">
        <v>119</v>
      </c>
      <c r="K177" s="32" t="str">
        <f>IFERROR(VLOOKUP(G177,'Taxonomy Sheet'!$A$3:$C$6,2,FALSE),"")</f>
        <v/>
      </c>
      <c r="L177" s="32">
        <f>IFERROR(VLOOKUP(F177,'Taxonomy Sheet'!$E$3:$F$5,2,FALSE),"")</f>
        <v>1.5</v>
      </c>
      <c r="M177" s="32" t="str">
        <f t="shared" si="2"/>
        <v/>
      </c>
    </row>
    <row r="178" spans="1:13" ht="14.25" customHeight="1" x14ac:dyDescent="0.35">
      <c r="A178" s="2" t="s">
        <v>534</v>
      </c>
      <c r="B178" s="2" t="s">
        <v>424</v>
      </c>
      <c r="C178" s="2" t="s">
        <v>509</v>
      </c>
      <c r="D178" s="2" t="s">
        <v>535</v>
      </c>
      <c r="E178" s="2" t="s">
        <v>536</v>
      </c>
      <c r="F178" s="37" t="s">
        <v>119</v>
      </c>
      <c r="K178" s="32" t="str">
        <f>IFERROR(VLOOKUP(G178,'Taxonomy Sheet'!$A$3:$C$6,2,FALSE),"")</f>
        <v/>
      </c>
      <c r="L178" s="32">
        <f>IFERROR(VLOOKUP(F178,'Taxonomy Sheet'!$E$3:$F$5,2,FALSE),"")</f>
        <v>1.5</v>
      </c>
      <c r="M178" s="32" t="str">
        <f t="shared" si="2"/>
        <v/>
      </c>
    </row>
    <row r="179" spans="1:13" ht="14.25" customHeight="1" x14ac:dyDescent="0.35">
      <c r="A179" s="2" t="s">
        <v>537</v>
      </c>
      <c r="B179" s="2" t="s">
        <v>424</v>
      </c>
      <c r="C179" s="2" t="s">
        <v>538</v>
      </c>
      <c r="D179" s="2" t="s">
        <v>539</v>
      </c>
      <c r="E179" s="2" t="s">
        <v>540</v>
      </c>
      <c r="F179" s="37" t="s">
        <v>18</v>
      </c>
      <c r="K179" s="32" t="str">
        <f>IFERROR(VLOOKUP(G179,'Taxonomy Sheet'!$A$3:$C$6,2,FALSE),"")</f>
        <v/>
      </c>
      <c r="L179" s="32">
        <f>IFERROR(VLOOKUP(F179,'Taxonomy Sheet'!$E$3:$F$5,2,FALSE),"")</f>
        <v>2</v>
      </c>
      <c r="M179" s="32" t="str">
        <f t="shared" si="2"/>
        <v/>
      </c>
    </row>
    <row r="180" spans="1:13" ht="14.25" customHeight="1" x14ac:dyDescent="0.35">
      <c r="A180" s="2" t="s">
        <v>541</v>
      </c>
      <c r="B180" s="2" t="s">
        <v>424</v>
      </c>
      <c r="C180" s="2" t="s">
        <v>538</v>
      </c>
      <c r="D180" s="2" t="s">
        <v>542</v>
      </c>
      <c r="E180" s="2" t="s">
        <v>543</v>
      </c>
      <c r="F180" s="37" t="s">
        <v>18</v>
      </c>
      <c r="K180" s="32" t="str">
        <f>IFERROR(VLOOKUP(G180,'Taxonomy Sheet'!$A$3:$C$6,2,FALSE),"")</f>
        <v/>
      </c>
      <c r="L180" s="32">
        <f>IFERROR(VLOOKUP(F180,'Taxonomy Sheet'!$E$3:$F$5,2,FALSE),"")</f>
        <v>2</v>
      </c>
      <c r="M180" s="32" t="str">
        <f t="shared" si="2"/>
        <v/>
      </c>
    </row>
    <row r="181" spans="1:13" ht="14.25" customHeight="1" x14ac:dyDescent="0.35">
      <c r="A181" s="2" t="s">
        <v>544</v>
      </c>
      <c r="B181" s="2" t="s">
        <v>424</v>
      </c>
      <c r="C181" s="2" t="s">
        <v>538</v>
      </c>
      <c r="D181" s="2" t="s">
        <v>545</v>
      </c>
      <c r="E181" s="2" t="s">
        <v>546</v>
      </c>
      <c r="F181" s="37" t="s">
        <v>18</v>
      </c>
      <c r="K181" s="32" t="str">
        <f>IFERROR(VLOOKUP(G181,'Taxonomy Sheet'!$A$3:$C$6,2,FALSE),"")</f>
        <v/>
      </c>
      <c r="L181" s="32">
        <f>IFERROR(VLOOKUP(F181,'Taxonomy Sheet'!$E$3:$F$5,2,FALSE),"")</f>
        <v>2</v>
      </c>
      <c r="M181" s="32" t="str">
        <f t="shared" si="2"/>
        <v/>
      </c>
    </row>
    <row r="182" spans="1:13" ht="14.25" customHeight="1" x14ac:dyDescent="0.35">
      <c r="A182" s="2" t="s">
        <v>547</v>
      </c>
      <c r="B182" s="2" t="s">
        <v>424</v>
      </c>
      <c r="C182" s="2" t="s">
        <v>538</v>
      </c>
      <c r="D182" s="2" t="s">
        <v>548</v>
      </c>
      <c r="E182" s="2" t="s">
        <v>549</v>
      </c>
      <c r="F182" s="37" t="s">
        <v>18</v>
      </c>
      <c r="K182" s="32" t="str">
        <f>IFERROR(VLOOKUP(G182,'Taxonomy Sheet'!$A$3:$C$6,2,FALSE),"")</f>
        <v/>
      </c>
      <c r="L182" s="32">
        <f>IFERROR(VLOOKUP(F182,'Taxonomy Sheet'!$E$3:$F$5,2,FALSE),"")</f>
        <v>2</v>
      </c>
      <c r="M182" s="32" t="str">
        <f t="shared" si="2"/>
        <v/>
      </c>
    </row>
    <row r="183" spans="1:13" ht="14.25" customHeight="1" x14ac:dyDescent="0.35">
      <c r="A183" s="2" t="s">
        <v>550</v>
      </c>
      <c r="B183" s="2" t="s">
        <v>424</v>
      </c>
      <c r="C183" s="2" t="s">
        <v>538</v>
      </c>
      <c r="D183" s="2" t="s">
        <v>551</v>
      </c>
      <c r="E183" s="2" t="s">
        <v>552</v>
      </c>
      <c r="F183" s="37" t="s">
        <v>18</v>
      </c>
      <c r="K183" s="32" t="str">
        <f>IFERROR(VLOOKUP(G183,'Taxonomy Sheet'!$A$3:$C$6,2,FALSE),"")</f>
        <v/>
      </c>
      <c r="L183" s="32">
        <f>IFERROR(VLOOKUP(F183,'Taxonomy Sheet'!$E$3:$F$5,2,FALSE),"")</f>
        <v>2</v>
      </c>
      <c r="M183" s="32" t="str">
        <f t="shared" si="2"/>
        <v/>
      </c>
    </row>
    <row r="184" spans="1:13" ht="14.25" customHeight="1" x14ac:dyDescent="0.35">
      <c r="A184" s="2" t="s">
        <v>553</v>
      </c>
      <c r="B184" s="2" t="s">
        <v>424</v>
      </c>
      <c r="C184" s="2" t="s">
        <v>538</v>
      </c>
      <c r="D184" s="2" t="s">
        <v>554</v>
      </c>
      <c r="E184" s="2" t="s">
        <v>555</v>
      </c>
      <c r="F184" s="37" t="s">
        <v>18</v>
      </c>
      <c r="K184" s="32" t="str">
        <f>IFERROR(VLOOKUP(G184,'Taxonomy Sheet'!$A$3:$C$6,2,FALSE),"")</f>
        <v/>
      </c>
      <c r="L184" s="32">
        <f>IFERROR(VLOOKUP(F184,'Taxonomy Sheet'!$E$3:$F$5,2,FALSE),"")</f>
        <v>2</v>
      </c>
      <c r="M184" s="32" t="str">
        <f t="shared" si="2"/>
        <v/>
      </c>
    </row>
    <row r="185" spans="1:13" ht="14.25" customHeight="1" x14ac:dyDescent="0.35">
      <c r="A185" s="2" t="s">
        <v>556</v>
      </c>
      <c r="B185" s="2" t="s">
        <v>424</v>
      </c>
      <c r="C185" s="2" t="s">
        <v>538</v>
      </c>
      <c r="D185" s="2" t="s">
        <v>557</v>
      </c>
      <c r="E185" s="2" t="s">
        <v>558</v>
      </c>
      <c r="F185" s="37" t="s">
        <v>18</v>
      </c>
      <c r="K185" s="32" t="str">
        <f>IFERROR(VLOOKUP(G185,'Taxonomy Sheet'!$A$3:$C$6,2,FALSE),"")</f>
        <v/>
      </c>
      <c r="L185" s="32">
        <f>IFERROR(VLOOKUP(F185,'Taxonomy Sheet'!$E$3:$F$5,2,FALSE),"")</f>
        <v>2</v>
      </c>
      <c r="M185" s="32" t="str">
        <f t="shared" si="2"/>
        <v/>
      </c>
    </row>
    <row r="186" spans="1:13" ht="14.25" customHeight="1" x14ac:dyDescent="0.35">
      <c r="A186" s="2" t="s">
        <v>559</v>
      </c>
      <c r="B186" s="2" t="s">
        <v>424</v>
      </c>
      <c r="C186" s="2" t="s">
        <v>538</v>
      </c>
      <c r="D186" s="2" t="s">
        <v>560</v>
      </c>
      <c r="E186" s="2" t="s">
        <v>561</v>
      </c>
      <c r="F186" s="37" t="s">
        <v>18</v>
      </c>
      <c r="K186" s="32" t="str">
        <f>IFERROR(VLOOKUP(G186,'Taxonomy Sheet'!$A$3:$C$6,2,FALSE),"")</f>
        <v/>
      </c>
      <c r="L186" s="32">
        <f>IFERROR(VLOOKUP(F186,'Taxonomy Sheet'!$E$3:$F$5,2,FALSE),"")</f>
        <v>2</v>
      </c>
      <c r="M186" s="32" t="str">
        <f t="shared" si="2"/>
        <v/>
      </c>
    </row>
    <row r="187" spans="1:13" ht="14.25" customHeight="1" x14ac:dyDescent="0.35">
      <c r="A187" s="2" t="s">
        <v>562</v>
      </c>
      <c r="B187" s="2" t="s">
        <v>424</v>
      </c>
      <c r="C187" s="2" t="s">
        <v>538</v>
      </c>
      <c r="D187" s="2" t="s">
        <v>563</v>
      </c>
      <c r="E187" s="2" t="s">
        <v>564</v>
      </c>
      <c r="F187" s="37" t="s">
        <v>18</v>
      </c>
      <c r="K187" s="32" t="str">
        <f>IFERROR(VLOOKUP(G187,'Taxonomy Sheet'!$A$3:$C$6,2,FALSE),"")</f>
        <v/>
      </c>
      <c r="L187" s="32">
        <f>IFERROR(VLOOKUP(F187,'Taxonomy Sheet'!$E$3:$F$5,2,FALSE),"")</f>
        <v>2</v>
      </c>
      <c r="M187" s="32" t="str">
        <f t="shared" si="2"/>
        <v/>
      </c>
    </row>
    <row r="188" spans="1:13" ht="14.25" customHeight="1" x14ac:dyDescent="0.35">
      <c r="A188" s="2" t="s">
        <v>565</v>
      </c>
      <c r="B188" s="2" t="s">
        <v>424</v>
      </c>
      <c r="C188" s="2" t="s">
        <v>538</v>
      </c>
      <c r="D188" s="2" t="s">
        <v>566</v>
      </c>
      <c r="E188" s="2" t="s">
        <v>567</v>
      </c>
      <c r="F188" s="37" t="s">
        <v>18</v>
      </c>
      <c r="K188" s="32" t="str">
        <f>IFERROR(VLOOKUP(G188,'Taxonomy Sheet'!$A$3:$C$6,2,FALSE),"")</f>
        <v/>
      </c>
      <c r="L188" s="32">
        <f>IFERROR(VLOOKUP(F188,'Taxonomy Sheet'!$E$3:$F$5,2,FALSE),"")</f>
        <v>2</v>
      </c>
      <c r="M188" s="32" t="str">
        <f t="shared" si="2"/>
        <v/>
      </c>
    </row>
    <row r="189" spans="1:13" ht="14.25" customHeight="1" x14ac:dyDescent="0.35">
      <c r="A189" s="2" t="s">
        <v>568</v>
      </c>
      <c r="B189" s="2" t="s">
        <v>424</v>
      </c>
      <c r="C189" s="2" t="s">
        <v>538</v>
      </c>
      <c r="D189" s="2" t="s">
        <v>569</v>
      </c>
      <c r="E189" s="2" t="s">
        <v>570</v>
      </c>
      <c r="F189" s="37" t="s">
        <v>18</v>
      </c>
      <c r="K189" s="32" t="str">
        <f>IFERROR(VLOOKUP(G189,'Taxonomy Sheet'!$A$3:$C$6,2,FALSE),"")</f>
        <v/>
      </c>
      <c r="L189" s="32">
        <f>IFERROR(VLOOKUP(F189,'Taxonomy Sheet'!$E$3:$F$5,2,FALSE),"")</f>
        <v>2</v>
      </c>
      <c r="M189" s="32" t="str">
        <f t="shared" si="2"/>
        <v/>
      </c>
    </row>
    <row r="190" spans="1:13" ht="14.25" customHeight="1" x14ac:dyDescent="0.35">
      <c r="A190" s="2" t="s">
        <v>571</v>
      </c>
      <c r="B190" s="2" t="s">
        <v>424</v>
      </c>
      <c r="C190" s="2" t="s">
        <v>572</v>
      </c>
      <c r="D190" s="2" t="s">
        <v>573</v>
      </c>
      <c r="E190" s="2" t="s">
        <v>574</v>
      </c>
      <c r="F190" s="37" t="s">
        <v>18</v>
      </c>
      <c r="K190" s="32" t="str">
        <f>IFERROR(VLOOKUP(G190,'Taxonomy Sheet'!$A$3:$C$6,2,FALSE),"")</f>
        <v/>
      </c>
      <c r="L190" s="32">
        <f>IFERROR(VLOOKUP(F190,'Taxonomy Sheet'!$E$3:$F$5,2,FALSE),"")</f>
        <v>2</v>
      </c>
      <c r="M190" s="32" t="str">
        <f t="shared" si="2"/>
        <v/>
      </c>
    </row>
    <row r="191" spans="1:13" ht="14.25" customHeight="1" x14ac:dyDescent="0.35">
      <c r="A191" s="2" t="s">
        <v>575</v>
      </c>
      <c r="B191" s="2" t="s">
        <v>424</v>
      </c>
      <c r="C191" s="2" t="s">
        <v>572</v>
      </c>
      <c r="D191" s="2" t="s">
        <v>576</v>
      </c>
      <c r="E191" s="2" t="s">
        <v>577</v>
      </c>
      <c r="F191" s="37" t="s">
        <v>18</v>
      </c>
      <c r="K191" s="32" t="str">
        <f>IFERROR(VLOOKUP(G191,'Taxonomy Sheet'!$A$3:$C$6,2,FALSE),"")</f>
        <v/>
      </c>
      <c r="L191" s="32">
        <f>IFERROR(VLOOKUP(F191,'Taxonomy Sheet'!$E$3:$F$5,2,FALSE),"")</f>
        <v>2</v>
      </c>
      <c r="M191" s="32" t="str">
        <f t="shared" si="2"/>
        <v/>
      </c>
    </row>
    <row r="192" spans="1:13" ht="14.25" customHeight="1" x14ac:dyDescent="0.35">
      <c r="A192" s="2" t="s">
        <v>578</v>
      </c>
      <c r="B192" s="2" t="s">
        <v>424</v>
      </c>
      <c r="C192" s="2" t="s">
        <v>572</v>
      </c>
      <c r="D192" s="2" t="s">
        <v>579</v>
      </c>
      <c r="E192" s="2" t="s">
        <v>580</v>
      </c>
      <c r="F192" s="37" t="s">
        <v>18</v>
      </c>
      <c r="K192" s="32" t="str">
        <f>IFERROR(VLOOKUP(G192,'Taxonomy Sheet'!$A$3:$C$6,2,FALSE),"")</f>
        <v/>
      </c>
      <c r="L192" s="32">
        <f>IFERROR(VLOOKUP(F192,'Taxonomy Sheet'!$E$3:$F$5,2,FALSE),"")</f>
        <v>2</v>
      </c>
      <c r="M192" s="32" t="str">
        <f t="shared" si="2"/>
        <v/>
      </c>
    </row>
    <row r="193" spans="1:13" ht="14.25" customHeight="1" x14ac:dyDescent="0.35">
      <c r="A193" s="2" t="s">
        <v>581</v>
      </c>
      <c r="B193" s="2" t="s">
        <v>424</v>
      </c>
      <c r="C193" s="2" t="s">
        <v>572</v>
      </c>
      <c r="D193" s="2" t="s">
        <v>582</v>
      </c>
      <c r="E193" s="2" t="s">
        <v>583</v>
      </c>
      <c r="F193" s="37" t="s">
        <v>18</v>
      </c>
      <c r="K193" s="32" t="str">
        <f>IFERROR(VLOOKUP(G193,'Taxonomy Sheet'!$A$3:$C$6,2,FALSE),"")</f>
        <v/>
      </c>
      <c r="L193" s="32">
        <f>IFERROR(VLOOKUP(F193,'Taxonomy Sheet'!$E$3:$F$5,2,FALSE),"")</f>
        <v>2</v>
      </c>
      <c r="M193" s="32" t="str">
        <f t="shared" si="2"/>
        <v/>
      </c>
    </row>
    <row r="194" spans="1:13" ht="14.25" customHeight="1" x14ac:dyDescent="0.35">
      <c r="A194" s="2" t="s">
        <v>584</v>
      </c>
      <c r="B194" s="2" t="s">
        <v>424</v>
      </c>
      <c r="C194" s="2" t="s">
        <v>572</v>
      </c>
      <c r="D194" s="2" t="s">
        <v>585</v>
      </c>
      <c r="E194" s="2" t="s">
        <v>586</v>
      </c>
      <c r="F194" s="37" t="s">
        <v>18</v>
      </c>
      <c r="K194" s="32" t="str">
        <f>IFERROR(VLOOKUP(G194,'Taxonomy Sheet'!$A$3:$C$6,2,FALSE),"")</f>
        <v/>
      </c>
      <c r="L194" s="32">
        <f>IFERROR(VLOOKUP(F194,'Taxonomy Sheet'!$E$3:$F$5,2,FALSE),"")</f>
        <v>2</v>
      </c>
      <c r="M194" s="32" t="str">
        <f t="shared" si="2"/>
        <v/>
      </c>
    </row>
    <row r="195" spans="1:13" ht="14.25" customHeight="1" x14ac:dyDescent="0.35">
      <c r="A195" s="2" t="s">
        <v>587</v>
      </c>
      <c r="B195" s="2" t="s">
        <v>424</v>
      </c>
      <c r="C195" s="2" t="s">
        <v>572</v>
      </c>
      <c r="D195" s="2" t="s">
        <v>588</v>
      </c>
      <c r="E195" s="2" t="s">
        <v>589</v>
      </c>
      <c r="F195" s="37" t="s">
        <v>18</v>
      </c>
      <c r="K195" s="32" t="str">
        <f>IFERROR(VLOOKUP(G195,'Taxonomy Sheet'!$A$3:$C$6,2,FALSE),"")</f>
        <v/>
      </c>
      <c r="L195" s="32">
        <f>IFERROR(VLOOKUP(F195,'Taxonomy Sheet'!$E$3:$F$5,2,FALSE),"")</f>
        <v>2</v>
      </c>
      <c r="M195" s="32" t="str">
        <f t="shared" si="2"/>
        <v/>
      </c>
    </row>
    <row r="196" spans="1:13" ht="14.25" customHeight="1" x14ac:dyDescent="0.35">
      <c r="A196" s="2" t="s">
        <v>590</v>
      </c>
      <c r="B196" s="2" t="s">
        <v>424</v>
      </c>
      <c r="C196" s="2" t="s">
        <v>572</v>
      </c>
      <c r="D196" s="2" t="s">
        <v>591</v>
      </c>
      <c r="E196" s="2" t="s">
        <v>592</v>
      </c>
      <c r="F196" s="37" t="s">
        <v>18</v>
      </c>
      <c r="K196" s="32" t="str">
        <f>IFERROR(VLOOKUP(G196,'Taxonomy Sheet'!$A$3:$C$6,2,FALSE),"")</f>
        <v/>
      </c>
      <c r="L196" s="32">
        <f>IFERROR(VLOOKUP(F196,'Taxonomy Sheet'!$E$3:$F$5,2,FALSE),"")</f>
        <v>2</v>
      </c>
      <c r="M196" s="32" t="str">
        <f t="shared" si="2"/>
        <v/>
      </c>
    </row>
    <row r="197" spans="1:13" ht="14.25" customHeight="1" x14ac:dyDescent="0.35">
      <c r="A197" s="2" t="s">
        <v>593</v>
      </c>
      <c r="B197" s="2" t="s">
        <v>424</v>
      </c>
      <c r="C197" s="2" t="s">
        <v>594</v>
      </c>
      <c r="D197" s="2" t="s">
        <v>595</v>
      </c>
      <c r="E197" s="2" t="s">
        <v>596</v>
      </c>
      <c r="F197" s="37" t="s">
        <v>18</v>
      </c>
      <c r="K197" s="32" t="str">
        <f>IFERROR(VLOOKUP(G197,'Taxonomy Sheet'!$A$3:$C$6,2,FALSE),"")</f>
        <v/>
      </c>
      <c r="L197" s="32">
        <f>IFERROR(VLOOKUP(F197,'Taxonomy Sheet'!$E$3:$F$5,2,FALSE),"")</f>
        <v>2</v>
      </c>
      <c r="M197" s="32" t="str">
        <f t="shared" si="2"/>
        <v/>
      </c>
    </row>
    <row r="198" spans="1:13" ht="14.25" customHeight="1" x14ac:dyDescent="0.35">
      <c r="A198" s="2" t="s">
        <v>597</v>
      </c>
      <c r="B198" s="2" t="s">
        <v>424</v>
      </c>
      <c r="C198" s="2" t="s">
        <v>594</v>
      </c>
      <c r="D198" s="2" t="s">
        <v>598</v>
      </c>
      <c r="E198" s="2" t="s">
        <v>599</v>
      </c>
      <c r="F198" s="37" t="s">
        <v>18</v>
      </c>
      <c r="K198" s="32" t="str">
        <f>IFERROR(VLOOKUP(G198,'Taxonomy Sheet'!$A$3:$C$6,2,FALSE),"")</f>
        <v/>
      </c>
      <c r="L198" s="32">
        <f>IFERROR(VLOOKUP(F198,'Taxonomy Sheet'!$E$3:$F$5,2,FALSE),"")</f>
        <v>2</v>
      </c>
      <c r="M198" s="32" t="str">
        <f t="shared" si="2"/>
        <v/>
      </c>
    </row>
    <row r="199" spans="1:13" ht="14.25" customHeight="1" x14ac:dyDescent="0.35">
      <c r="A199" s="2" t="s">
        <v>600</v>
      </c>
      <c r="B199" s="2" t="s">
        <v>424</v>
      </c>
      <c r="C199" s="2" t="s">
        <v>594</v>
      </c>
      <c r="D199" s="2" t="s">
        <v>601</v>
      </c>
      <c r="E199" s="2" t="s">
        <v>602</v>
      </c>
      <c r="F199" s="37" t="s">
        <v>119</v>
      </c>
      <c r="K199" s="32" t="str">
        <f>IFERROR(VLOOKUP(G199,'Taxonomy Sheet'!$A$3:$C$6,2,FALSE),"")</f>
        <v/>
      </c>
      <c r="L199" s="32">
        <f>IFERROR(VLOOKUP(F199,'Taxonomy Sheet'!$E$3:$F$5,2,FALSE),"")</f>
        <v>1.5</v>
      </c>
      <c r="M199" s="32" t="str">
        <f t="shared" si="2"/>
        <v/>
      </c>
    </row>
    <row r="200" spans="1:13" ht="14.25" customHeight="1" x14ac:dyDescent="0.35">
      <c r="A200" s="2" t="s">
        <v>603</v>
      </c>
      <c r="B200" s="2" t="s">
        <v>424</v>
      </c>
      <c r="C200" s="2" t="s">
        <v>594</v>
      </c>
      <c r="D200" s="2" t="s">
        <v>604</v>
      </c>
      <c r="E200" s="2" t="s">
        <v>605</v>
      </c>
      <c r="F200" s="37" t="s">
        <v>18</v>
      </c>
      <c r="K200" s="32" t="str">
        <f>IFERROR(VLOOKUP(G200,'Taxonomy Sheet'!$A$3:$C$6,2,FALSE),"")</f>
        <v/>
      </c>
      <c r="L200" s="32">
        <f>IFERROR(VLOOKUP(F200,'Taxonomy Sheet'!$E$3:$F$5,2,FALSE),"")</f>
        <v>2</v>
      </c>
      <c r="M200" s="32" t="str">
        <f t="shared" si="2"/>
        <v/>
      </c>
    </row>
    <row r="201" spans="1:13" ht="14.25" customHeight="1" x14ac:dyDescent="0.35">
      <c r="A201" s="2" t="s">
        <v>606</v>
      </c>
      <c r="B201" s="2" t="s">
        <v>424</v>
      </c>
      <c r="C201" s="2" t="s">
        <v>594</v>
      </c>
      <c r="D201" s="2" t="s">
        <v>607</v>
      </c>
      <c r="E201" s="2" t="s">
        <v>608</v>
      </c>
      <c r="F201" s="37" t="s">
        <v>18</v>
      </c>
      <c r="K201" s="32" t="str">
        <f>IFERROR(VLOOKUP(G201,'Taxonomy Sheet'!$A$3:$C$6,2,FALSE),"")</f>
        <v/>
      </c>
      <c r="L201" s="32">
        <f>IFERROR(VLOOKUP(F201,'Taxonomy Sheet'!$E$3:$F$5,2,FALSE),"")</f>
        <v>2</v>
      </c>
      <c r="M201" s="32" t="str">
        <f t="shared" si="2"/>
        <v/>
      </c>
    </row>
    <row r="202" spans="1:13" ht="14.25" customHeight="1" x14ac:dyDescent="0.35">
      <c r="A202" s="2" t="s">
        <v>609</v>
      </c>
      <c r="B202" s="2" t="s">
        <v>424</v>
      </c>
      <c r="C202" s="2" t="s">
        <v>594</v>
      </c>
      <c r="D202" s="2" t="s">
        <v>610</v>
      </c>
      <c r="E202" s="2" t="s">
        <v>611</v>
      </c>
      <c r="F202" s="37" t="s">
        <v>119</v>
      </c>
      <c r="K202" s="32" t="str">
        <f>IFERROR(VLOOKUP(G202,'Taxonomy Sheet'!$A$3:$C$6,2,FALSE),"")</f>
        <v/>
      </c>
      <c r="L202" s="32">
        <f>IFERROR(VLOOKUP(F202,'Taxonomy Sheet'!$E$3:$F$5,2,FALSE),"")</f>
        <v>1.5</v>
      </c>
      <c r="M202" s="32" t="str">
        <f t="shared" si="2"/>
        <v/>
      </c>
    </row>
    <row r="203" spans="1:13" ht="14.25" customHeight="1" x14ac:dyDescent="0.35">
      <c r="A203" s="2" t="s">
        <v>612</v>
      </c>
      <c r="B203" s="2" t="s">
        <v>424</v>
      </c>
      <c r="C203" s="2" t="s">
        <v>594</v>
      </c>
      <c r="D203" s="2" t="s">
        <v>613</v>
      </c>
      <c r="E203" s="2" t="s">
        <v>614</v>
      </c>
      <c r="F203" s="37" t="s">
        <v>119</v>
      </c>
      <c r="K203" s="32" t="str">
        <f>IFERROR(VLOOKUP(G203,'Taxonomy Sheet'!$A$3:$C$6,2,FALSE),"")</f>
        <v/>
      </c>
      <c r="L203" s="32">
        <f>IFERROR(VLOOKUP(F203,'Taxonomy Sheet'!$E$3:$F$5,2,FALSE),"")</f>
        <v>1.5</v>
      </c>
      <c r="M203" s="32" t="str">
        <f t="shared" si="2"/>
        <v/>
      </c>
    </row>
    <row r="204" spans="1:13" ht="14.25" customHeight="1" x14ac:dyDescent="0.35">
      <c r="A204" s="2" t="s">
        <v>615</v>
      </c>
      <c r="B204" s="2" t="s">
        <v>424</v>
      </c>
      <c r="C204" s="2" t="s">
        <v>594</v>
      </c>
      <c r="D204" s="2" t="s">
        <v>616</v>
      </c>
      <c r="E204" s="2" t="s">
        <v>617</v>
      </c>
      <c r="F204" s="37" t="s">
        <v>18</v>
      </c>
      <c r="K204" s="32" t="str">
        <f>IFERROR(VLOOKUP(G204,'Taxonomy Sheet'!$A$3:$C$6,2,FALSE),"")</f>
        <v/>
      </c>
      <c r="L204" s="32">
        <f>IFERROR(VLOOKUP(F204,'Taxonomy Sheet'!$E$3:$F$5,2,FALSE),"")</f>
        <v>2</v>
      </c>
      <c r="M204" s="32" t="str">
        <f t="shared" si="2"/>
        <v/>
      </c>
    </row>
    <row r="205" spans="1:13" ht="14.25" customHeight="1" x14ac:dyDescent="0.35">
      <c r="A205" s="2" t="s">
        <v>618</v>
      </c>
      <c r="B205" s="2" t="s">
        <v>424</v>
      </c>
      <c r="C205" s="2" t="s">
        <v>619</v>
      </c>
      <c r="D205" s="2" t="s">
        <v>620</v>
      </c>
      <c r="E205" s="2" t="s">
        <v>621</v>
      </c>
      <c r="F205" s="37" t="s">
        <v>18</v>
      </c>
      <c r="K205" s="32" t="str">
        <f>IFERROR(VLOOKUP(G205,'Taxonomy Sheet'!$A$3:$C$6,2,FALSE),"")</f>
        <v/>
      </c>
      <c r="L205" s="32">
        <f>IFERROR(VLOOKUP(F205,'Taxonomy Sheet'!$E$3:$F$5,2,FALSE),"")</f>
        <v>2</v>
      </c>
      <c r="M205" s="32" t="str">
        <f t="shared" ref="M205:M268" si="3">IF(OR(K205="",L205=""),"",K205*L205)</f>
        <v/>
      </c>
    </row>
    <row r="206" spans="1:13" ht="14.25" customHeight="1" x14ac:dyDescent="0.35">
      <c r="A206" s="2" t="s">
        <v>622</v>
      </c>
      <c r="B206" s="2" t="s">
        <v>424</v>
      </c>
      <c r="C206" s="2" t="s">
        <v>619</v>
      </c>
      <c r="D206" s="2" t="s">
        <v>623</v>
      </c>
      <c r="E206" s="2" t="s">
        <v>624</v>
      </c>
      <c r="F206" s="37" t="s">
        <v>119</v>
      </c>
      <c r="K206" s="32" t="str">
        <f>IFERROR(VLOOKUP(G206,'Taxonomy Sheet'!$A$3:$C$6,2,FALSE),"")</f>
        <v/>
      </c>
      <c r="L206" s="32">
        <f>IFERROR(VLOOKUP(F206,'Taxonomy Sheet'!$E$3:$F$5,2,FALSE),"")</f>
        <v>1.5</v>
      </c>
      <c r="M206" s="32" t="str">
        <f t="shared" si="3"/>
        <v/>
      </c>
    </row>
    <row r="207" spans="1:13" ht="14.25" customHeight="1" x14ac:dyDescent="0.35">
      <c r="A207" s="2" t="s">
        <v>625</v>
      </c>
      <c r="B207" s="2" t="s">
        <v>424</v>
      </c>
      <c r="C207" s="2" t="s">
        <v>619</v>
      </c>
      <c r="D207" s="2" t="s">
        <v>626</v>
      </c>
      <c r="E207" s="2" t="s">
        <v>627</v>
      </c>
      <c r="F207" s="37" t="s">
        <v>18</v>
      </c>
      <c r="K207" s="32" t="str">
        <f>IFERROR(VLOOKUP(G207,'Taxonomy Sheet'!$A$3:$C$6,2,FALSE),"")</f>
        <v/>
      </c>
      <c r="L207" s="32">
        <f>IFERROR(VLOOKUP(F207,'Taxonomy Sheet'!$E$3:$F$5,2,FALSE),"")</f>
        <v>2</v>
      </c>
      <c r="M207" s="32" t="str">
        <f t="shared" si="3"/>
        <v/>
      </c>
    </row>
    <row r="208" spans="1:13" ht="14.25" customHeight="1" x14ac:dyDescent="0.35">
      <c r="A208" s="2" t="s">
        <v>628</v>
      </c>
      <c r="B208" s="2" t="s">
        <v>424</v>
      </c>
      <c r="C208" s="2" t="s">
        <v>619</v>
      </c>
      <c r="D208" s="2" t="s">
        <v>629</v>
      </c>
      <c r="E208" s="2" t="s">
        <v>630</v>
      </c>
      <c r="F208" s="37" t="s">
        <v>18</v>
      </c>
      <c r="K208" s="32" t="str">
        <f>IFERROR(VLOOKUP(G208,'Taxonomy Sheet'!$A$3:$C$6,2,FALSE),"")</f>
        <v/>
      </c>
      <c r="L208" s="32">
        <f>IFERROR(VLOOKUP(F208,'Taxonomy Sheet'!$E$3:$F$5,2,FALSE),"")</f>
        <v>2</v>
      </c>
      <c r="M208" s="32" t="str">
        <f t="shared" si="3"/>
        <v/>
      </c>
    </row>
    <row r="209" spans="1:13" ht="14.25" customHeight="1" x14ac:dyDescent="0.35">
      <c r="A209" s="2" t="s">
        <v>631</v>
      </c>
      <c r="B209" s="2" t="s">
        <v>424</v>
      </c>
      <c r="C209" s="2" t="s">
        <v>632</v>
      </c>
      <c r="D209" s="2" t="s">
        <v>633</v>
      </c>
      <c r="E209" s="2" t="s">
        <v>634</v>
      </c>
      <c r="F209" s="37" t="s">
        <v>119</v>
      </c>
      <c r="K209" s="32" t="str">
        <f>IFERROR(VLOOKUP(G209,'Taxonomy Sheet'!$A$3:$C$6,2,FALSE),"")</f>
        <v/>
      </c>
      <c r="L209" s="32">
        <f>IFERROR(VLOOKUP(F209,'Taxonomy Sheet'!$E$3:$F$5,2,FALSE),"")</f>
        <v>1.5</v>
      </c>
      <c r="M209" s="32" t="str">
        <f t="shared" si="3"/>
        <v/>
      </c>
    </row>
    <row r="210" spans="1:13" ht="14.25" customHeight="1" x14ac:dyDescent="0.35">
      <c r="A210" s="2" t="s">
        <v>635</v>
      </c>
      <c r="B210" s="2" t="s">
        <v>424</v>
      </c>
      <c r="C210" s="2" t="s">
        <v>636</v>
      </c>
      <c r="D210" s="2" t="s">
        <v>637</v>
      </c>
      <c r="E210" s="2" t="s">
        <v>638</v>
      </c>
      <c r="F210" s="37" t="s">
        <v>119</v>
      </c>
      <c r="K210" s="32" t="str">
        <f>IFERROR(VLOOKUP(G210,'Taxonomy Sheet'!$A$3:$C$6,2,FALSE),"")</f>
        <v/>
      </c>
      <c r="L210" s="32">
        <f>IFERROR(VLOOKUP(F210,'Taxonomy Sheet'!$E$3:$F$5,2,FALSE),"")</f>
        <v>1.5</v>
      </c>
      <c r="M210" s="32" t="str">
        <f t="shared" si="3"/>
        <v/>
      </c>
    </row>
    <row r="211" spans="1:13" ht="14.25" customHeight="1" x14ac:dyDescent="0.35">
      <c r="A211" s="2" t="s">
        <v>639</v>
      </c>
      <c r="B211" s="2" t="s">
        <v>424</v>
      </c>
      <c r="C211" s="2" t="s">
        <v>640</v>
      </c>
      <c r="D211" s="2" t="s">
        <v>641</v>
      </c>
      <c r="E211" s="2" t="s">
        <v>642</v>
      </c>
      <c r="F211" s="37" t="s">
        <v>119</v>
      </c>
      <c r="K211" s="32" t="str">
        <f>IFERROR(VLOOKUP(G211,'Taxonomy Sheet'!$A$3:$C$6,2,FALSE),"")</f>
        <v/>
      </c>
      <c r="L211" s="32">
        <f>IFERROR(VLOOKUP(F211,'Taxonomy Sheet'!$E$3:$F$5,2,FALSE),"")</f>
        <v>1.5</v>
      </c>
      <c r="M211" s="32" t="str">
        <f t="shared" si="3"/>
        <v/>
      </c>
    </row>
    <row r="212" spans="1:13" ht="14.25" customHeight="1" x14ac:dyDescent="0.35">
      <c r="A212" s="2" t="s">
        <v>643</v>
      </c>
      <c r="B212" s="2" t="s">
        <v>424</v>
      </c>
      <c r="C212" s="2" t="s">
        <v>640</v>
      </c>
      <c r="D212" s="2" t="s">
        <v>644</v>
      </c>
      <c r="E212" s="2" t="s">
        <v>645</v>
      </c>
      <c r="F212" s="37" t="s">
        <v>119</v>
      </c>
      <c r="K212" s="32" t="str">
        <f>IFERROR(VLOOKUP(G212,'Taxonomy Sheet'!$A$3:$C$6,2,FALSE),"")</f>
        <v/>
      </c>
      <c r="L212" s="32">
        <f>IFERROR(VLOOKUP(F212,'Taxonomy Sheet'!$E$3:$F$5,2,FALSE),"")</f>
        <v>1.5</v>
      </c>
      <c r="M212" s="32" t="str">
        <f t="shared" si="3"/>
        <v/>
      </c>
    </row>
    <row r="213" spans="1:13" ht="14.25" customHeight="1" x14ac:dyDescent="0.35">
      <c r="A213" s="2" t="s">
        <v>646</v>
      </c>
      <c r="B213" s="2" t="s">
        <v>424</v>
      </c>
      <c r="C213" s="2" t="s">
        <v>647</v>
      </c>
      <c r="D213" s="2" t="s">
        <v>648</v>
      </c>
      <c r="E213" s="2" t="s">
        <v>649</v>
      </c>
      <c r="F213" s="37" t="s">
        <v>119</v>
      </c>
      <c r="K213" s="32" t="str">
        <f>IFERROR(VLOOKUP(G213,'Taxonomy Sheet'!$A$3:$C$6,2,FALSE),"")</f>
        <v/>
      </c>
      <c r="L213" s="32">
        <f>IFERROR(VLOOKUP(F213,'Taxonomy Sheet'!$E$3:$F$5,2,FALSE),"")</f>
        <v>1.5</v>
      </c>
      <c r="M213" s="32" t="str">
        <f t="shared" si="3"/>
        <v/>
      </c>
    </row>
    <row r="214" spans="1:13" ht="14.25" customHeight="1" x14ac:dyDescent="0.35">
      <c r="A214" s="2" t="s">
        <v>650</v>
      </c>
      <c r="B214" s="2" t="s">
        <v>424</v>
      </c>
      <c r="C214" s="2" t="s">
        <v>647</v>
      </c>
      <c r="D214" s="2" t="s">
        <v>651</v>
      </c>
      <c r="E214" s="2" t="s">
        <v>652</v>
      </c>
      <c r="F214" s="37" t="s">
        <v>119</v>
      </c>
      <c r="K214" s="32" t="str">
        <f>IFERROR(VLOOKUP(G214,'Taxonomy Sheet'!$A$3:$C$6,2,FALSE),"")</f>
        <v/>
      </c>
      <c r="L214" s="32">
        <f>IFERROR(VLOOKUP(F214,'Taxonomy Sheet'!$E$3:$F$5,2,FALSE),"")</f>
        <v>1.5</v>
      </c>
      <c r="M214" s="32" t="str">
        <f t="shared" si="3"/>
        <v/>
      </c>
    </row>
    <row r="215" spans="1:13" ht="14.25" customHeight="1" x14ac:dyDescent="0.35">
      <c r="A215" s="2" t="s">
        <v>653</v>
      </c>
      <c r="B215" s="2" t="s">
        <v>424</v>
      </c>
      <c r="C215" s="2" t="s">
        <v>647</v>
      </c>
      <c r="D215" s="2" t="s">
        <v>654</v>
      </c>
      <c r="E215" s="2" t="s">
        <v>655</v>
      </c>
      <c r="F215" s="37" t="s">
        <v>119</v>
      </c>
      <c r="K215" s="32" t="str">
        <f>IFERROR(VLOOKUP(G215,'Taxonomy Sheet'!$A$3:$C$6,2,FALSE),"")</f>
        <v/>
      </c>
      <c r="L215" s="32">
        <f>IFERROR(VLOOKUP(F215,'Taxonomy Sheet'!$E$3:$F$5,2,FALSE),"")</f>
        <v>1.5</v>
      </c>
      <c r="M215" s="32" t="str">
        <f t="shared" si="3"/>
        <v/>
      </c>
    </row>
    <row r="216" spans="1:13" ht="14.25" customHeight="1" x14ac:dyDescent="0.35">
      <c r="A216" s="2" t="s">
        <v>656</v>
      </c>
      <c r="B216" s="2" t="s">
        <v>424</v>
      </c>
      <c r="C216" s="2" t="s">
        <v>657</v>
      </c>
      <c r="D216" s="2" t="s">
        <v>658</v>
      </c>
      <c r="E216" s="2" t="s">
        <v>659</v>
      </c>
      <c r="F216" s="37" t="s">
        <v>165</v>
      </c>
      <c r="K216" s="32" t="str">
        <f>IFERROR(VLOOKUP(G216,'Taxonomy Sheet'!$A$3:$C$6,2,FALSE),"")</f>
        <v/>
      </c>
      <c r="L216" s="32">
        <f>IFERROR(VLOOKUP(F216,'Taxonomy Sheet'!$E$3:$F$5,2,FALSE),"")</f>
        <v>1</v>
      </c>
      <c r="M216" s="32" t="str">
        <f t="shared" si="3"/>
        <v/>
      </c>
    </row>
    <row r="217" spans="1:13" ht="14.25" customHeight="1" x14ac:dyDescent="0.35">
      <c r="A217" s="2" t="s">
        <v>660</v>
      </c>
      <c r="B217" s="2" t="s">
        <v>424</v>
      </c>
      <c r="C217" s="2" t="s">
        <v>661</v>
      </c>
      <c r="D217" s="2" t="s">
        <v>662</v>
      </c>
      <c r="E217" s="2" t="s">
        <v>663</v>
      </c>
      <c r="F217" s="37" t="s">
        <v>119</v>
      </c>
      <c r="K217" s="32" t="str">
        <f>IFERROR(VLOOKUP(G217,'Taxonomy Sheet'!$A$3:$C$6,2,FALSE),"")</f>
        <v/>
      </c>
      <c r="L217" s="32">
        <f>IFERROR(VLOOKUP(F217,'Taxonomy Sheet'!$E$3:$F$5,2,FALSE),"")</f>
        <v>1.5</v>
      </c>
      <c r="M217" s="32" t="str">
        <f t="shared" si="3"/>
        <v/>
      </c>
    </row>
    <row r="218" spans="1:13" ht="14.25" customHeight="1" x14ac:dyDescent="0.35">
      <c r="A218" s="2" t="s">
        <v>664</v>
      </c>
      <c r="B218" s="2" t="s">
        <v>424</v>
      </c>
      <c r="C218" s="2" t="s">
        <v>665</v>
      </c>
      <c r="D218" s="2" t="s">
        <v>666</v>
      </c>
      <c r="E218" s="2" t="s">
        <v>667</v>
      </c>
      <c r="F218" s="37" t="s">
        <v>119</v>
      </c>
      <c r="K218" s="32" t="str">
        <f>IFERROR(VLOOKUP(G218,'Taxonomy Sheet'!$A$3:$C$6,2,FALSE),"")</f>
        <v/>
      </c>
      <c r="L218" s="32">
        <f>IFERROR(VLOOKUP(F218,'Taxonomy Sheet'!$E$3:$F$5,2,FALSE),"")</f>
        <v>1.5</v>
      </c>
      <c r="M218" s="32" t="str">
        <f t="shared" si="3"/>
        <v/>
      </c>
    </row>
    <row r="219" spans="1:13" ht="14.25" customHeight="1" x14ac:dyDescent="0.35">
      <c r="A219" s="2" t="s">
        <v>668</v>
      </c>
      <c r="B219" s="2" t="s">
        <v>424</v>
      </c>
      <c r="C219" s="2" t="s">
        <v>669</v>
      </c>
      <c r="D219" s="2" t="s">
        <v>670</v>
      </c>
      <c r="E219" s="2" t="s">
        <v>671</v>
      </c>
      <c r="F219" s="37" t="s">
        <v>119</v>
      </c>
      <c r="K219" s="32" t="str">
        <f>IFERROR(VLOOKUP(G219,'Taxonomy Sheet'!$A$3:$C$6,2,FALSE),"")</f>
        <v/>
      </c>
      <c r="L219" s="32">
        <f>IFERROR(VLOOKUP(F219,'Taxonomy Sheet'!$E$3:$F$5,2,FALSE),"")</f>
        <v>1.5</v>
      </c>
      <c r="M219" s="32" t="str">
        <f t="shared" si="3"/>
        <v/>
      </c>
    </row>
    <row r="220" spans="1:13" ht="14.25" customHeight="1" x14ac:dyDescent="0.35">
      <c r="A220" s="2" t="s">
        <v>672</v>
      </c>
      <c r="B220" s="2" t="s">
        <v>424</v>
      </c>
      <c r="C220" s="2" t="s">
        <v>673</v>
      </c>
      <c r="D220" s="2" t="s">
        <v>674</v>
      </c>
      <c r="E220" s="2" t="s">
        <v>675</v>
      </c>
      <c r="F220" s="37" t="s">
        <v>119</v>
      </c>
      <c r="K220" s="32" t="str">
        <f>IFERROR(VLOOKUP(G220,'Taxonomy Sheet'!$A$3:$C$6,2,FALSE),"")</f>
        <v/>
      </c>
      <c r="L220" s="32">
        <f>IFERROR(VLOOKUP(F220,'Taxonomy Sheet'!$E$3:$F$5,2,FALSE),"")</f>
        <v>1.5</v>
      </c>
      <c r="M220" s="32" t="str">
        <f t="shared" si="3"/>
        <v/>
      </c>
    </row>
    <row r="221" spans="1:13" ht="14.25" customHeight="1" x14ac:dyDescent="0.35">
      <c r="K221" s="32" t="str">
        <f>IFERROR(VLOOKUP(G221,'Taxonomy Sheet'!$A$3:$C$6,2,FALSE),"")</f>
        <v/>
      </c>
      <c r="L221" s="32" t="str">
        <f>IFERROR(VLOOKUP(F221,'Taxonomy Sheet'!$E$3:$F$5,2,FALSE),"")</f>
        <v/>
      </c>
      <c r="M221" s="32" t="str">
        <f t="shared" si="3"/>
        <v/>
      </c>
    </row>
    <row r="222" spans="1:13" ht="14.25" customHeight="1" x14ac:dyDescent="0.35">
      <c r="K222" s="32" t="str">
        <f>IFERROR(VLOOKUP(G222,'Taxonomy Sheet'!$A$3:$C$6,2,FALSE),"")</f>
        <v/>
      </c>
      <c r="L222" s="32" t="str">
        <f>IFERROR(VLOOKUP(F222,'Taxonomy Sheet'!$E$3:$F$5,2,FALSE),"")</f>
        <v/>
      </c>
      <c r="M222" s="32" t="str">
        <f t="shared" si="3"/>
        <v/>
      </c>
    </row>
    <row r="223" spans="1:13" ht="14.25" customHeight="1" x14ac:dyDescent="0.35">
      <c r="K223" s="32" t="str">
        <f>IFERROR(VLOOKUP(G223,'Taxonomy Sheet'!$A$3:$C$6,2,FALSE),"")</f>
        <v/>
      </c>
      <c r="L223" s="32" t="str">
        <f>IFERROR(VLOOKUP(F223,'Taxonomy Sheet'!$E$3:$F$5,2,FALSE),"")</f>
        <v/>
      </c>
      <c r="M223" s="32" t="str">
        <f t="shared" si="3"/>
        <v/>
      </c>
    </row>
    <row r="224" spans="1:13" ht="14.25" customHeight="1" x14ac:dyDescent="0.35">
      <c r="K224" s="32" t="str">
        <f>IFERROR(VLOOKUP(G224,'Taxonomy Sheet'!$A$3:$C$6,2,FALSE),"")</f>
        <v/>
      </c>
      <c r="L224" s="32" t="str">
        <f>IFERROR(VLOOKUP(F224,'Taxonomy Sheet'!$E$3:$F$5,2,FALSE),"")</f>
        <v/>
      </c>
      <c r="M224" s="32" t="str">
        <f t="shared" si="3"/>
        <v/>
      </c>
    </row>
    <row r="225" spans="11:13" ht="14.25" customHeight="1" x14ac:dyDescent="0.35">
      <c r="K225" s="32" t="str">
        <f>IFERROR(VLOOKUP(G225,'Taxonomy Sheet'!$A$3:$C$6,2,FALSE),"")</f>
        <v/>
      </c>
      <c r="L225" s="32" t="str">
        <f>IFERROR(VLOOKUP(F225,'Taxonomy Sheet'!$E$3:$F$5,2,FALSE),"")</f>
        <v/>
      </c>
      <c r="M225" s="32" t="str">
        <f t="shared" si="3"/>
        <v/>
      </c>
    </row>
    <row r="226" spans="11:13" ht="14.25" customHeight="1" x14ac:dyDescent="0.35">
      <c r="K226" s="32" t="str">
        <f>IFERROR(VLOOKUP(G226,'Taxonomy Sheet'!$A$3:$C$6,2,FALSE),"")</f>
        <v/>
      </c>
      <c r="L226" s="32" t="str">
        <f>IFERROR(VLOOKUP(F226,'Taxonomy Sheet'!$E$3:$F$5,2,FALSE),"")</f>
        <v/>
      </c>
      <c r="M226" s="32" t="str">
        <f t="shared" si="3"/>
        <v/>
      </c>
    </row>
    <row r="227" spans="11:13" ht="14.25" customHeight="1" x14ac:dyDescent="0.35">
      <c r="K227" s="32" t="str">
        <f>IFERROR(VLOOKUP(G227,'Taxonomy Sheet'!$A$3:$C$6,2,FALSE),"")</f>
        <v/>
      </c>
      <c r="L227" s="32" t="str">
        <f>IFERROR(VLOOKUP(F227,'Taxonomy Sheet'!$E$3:$F$5,2,FALSE),"")</f>
        <v/>
      </c>
      <c r="M227" s="32" t="str">
        <f t="shared" si="3"/>
        <v/>
      </c>
    </row>
    <row r="228" spans="11:13" ht="14.25" customHeight="1" x14ac:dyDescent="0.35">
      <c r="K228" s="32" t="str">
        <f>IFERROR(VLOOKUP(G228,'Taxonomy Sheet'!$A$3:$C$6,2,FALSE),"")</f>
        <v/>
      </c>
      <c r="L228" s="32" t="str">
        <f>IFERROR(VLOOKUP(F228,'Taxonomy Sheet'!$E$3:$F$5,2,FALSE),"")</f>
        <v/>
      </c>
      <c r="M228" s="32" t="str">
        <f t="shared" si="3"/>
        <v/>
      </c>
    </row>
    <row r="229" spans="11:13" ht="14.25" customHeight="1" x14ac:dyDescent="0.35">
      <c r="K229" s="32" t="str">
        <f>IFERROR(VLOOKUP(G229,'Taxonomy Sheet'!$A$3:$C$6,2,FALSE),"")</f>
        <v/>
      </c>
      <c r="L229" s="32" t="str">
        <f>IFERROR(VLOOKUP(F229,'Taxonomy Sheet'!$E$3:$F$5,2,FALSE),"")</f>
        <v/>
      </c>
      <c r="M229" s="32" t="str">
        <f t="shared" si="3"/>
        <v/>
      </c>
    </row>
    <row r="230" spans="11:13" ht="14.25" customHeight="1" x14ac:dyDescent="0.35">
      <c r="K230" s="32" t="str">
        <f>IFERROR(VLOOKUP(G230,'Taxonomy Sheet'!$A$3:$C$6,2,FALSE),"")</f>
        <v/>
      </c>
      <c r="L230" s="32" t="str">
        <f>IFERROR(VLOOKUP(F230,'Taxonomy Sheet'!$E$3:$F$5,2,FALSE),"")</f>
        <v/>
      </c>
      <c r="M230" s="32" t="str">
        <f t="shared" si="3"/>
        <v/>
      </c>
    </row>
    <row r="231" spans="11:13" ht="14.25" customHeight="1" x14ac:dyDescent="0.35">
      <c r="K231" s="32" t="str">
        <f>IFERROR(VLOOKUP(G231,'Taxonomy Sheet'!$A$3:$C$6,2,FALSE),"")</f>
        <v/>
      </c>
      <c r="L231" s="32" t="str">
        <f>IFERROR(VLOOKUP(F231,'Taxonomy Sheet'!$E$3:$F$5,2,FALSE),"")</f>
        <v/>
      </c>
      <c r="M231" s="32" t="str">
        <f t="shared" si="3"/>
        <v/>
      </c>
    </row>
    <row r="232" spans="11:13" ht="14.25" customHeight="1" x14ac:dyDescent="0.35">
      <c r="K232" s="32" t="str">
        <f>IFERROR(VLOOKUP(G232,'Taxonomy Sheet'!$A$3:$C$6,2,FALSE),"")</f>
        <v/>
      </c>
      <c r="L232" s="32" t="str">
        <f>IFERROR(VLOOKUP(F232,'Taxonomy Sheet'!$E$3:$F$5,2,FALSE),"")</f>
        <v/>
      </c>
      <c r="M232" s="32" t="str">
        <f t="shared" si="3"/>
        <v/>
      </c>
    </row>
    <row r="233" spans="11:13" ht="14.25" customHeight="1" x14ac:dyDescent="0.35">
      <c r="K233" s="32" t="str">
        <f>IFERROR(VLOOKUP(G233,'Taxonomy Sheet'!$A$3:$C$6,2,FALSE),"")</f>
        <v/>
      </c>
      <c r="L233" s="32" t="str">
        <f>IFERROR(VLOOKUP(F233,'Taxonomy Sheet'!$E$3:$F$5,2,FALSE),"")</f>
        <v/>
      </c>
      <c r="M233" s="32" t="str">
        <f t="shared" si="3"/>
        <v/>
      </c>
    </row>
    <row r="234" spans="11:13" ht="14.25" customHeight="1" x14ac:dyDescent="0.35">
      <c r="K234" s="32" t="str">
        <f>IFERROR(VLOOKUP(G234,'Taxonomy Sheet'!$A$3:$C$6,2,FALSE),"")</f>
        <v/>
      </c>
      <c r="L234" s="32" t="str">
        <f>IFERROR(VLOOKUP(F234,'Taxonomy Sheet'!$E$3:$F$5,2,FALSE),"")</f>
        <v/>
      </c>
      <c r="M234" s="32" t="str">
        <f t="shared" si="3"/>
        <v/>
      </c>
    </row>
    <row r="235" spans="11:13" ht="14.25" customHeight="1" x14ac:dyDescent="0.35">
      <c r="K235" s="32" t="str">
        <f>IFERROR(VLOOKUP(G235,'Taxonomy Sheet'!$A$3:$C$6,2,FALSE),"")</f>
        <v/>
      </c>
      <c r="L235" s="32" t="str">
        <f>IFERROR(VLOOKUP(F235,'Taxonomy Sheet'!$E$3:$F$5,2,FALSE),"")</f>
        <v/>
      </c>
      <c r="M235" s="32" t="str">
        <f t="shared" si="3"/>
        <v/>
      </c>
    </row>
    <row r="236" spans="11:13" ht="14.25" customHeight="1" x14ac:dyDescent="0.35">
      <c r="K236" s="32" t="str">
        <f>IFERROR(VLOOKUP(G236,'Taxonomy Sheet'!$A$3:$C$6,2,FALSE),"")</f>
        <v/>
      </c>
      <c r="L236" s="32" t="str">
        <f>IFERROR(VLOOKUP(F236,'Taxonomy Sheet'!$E$3:$F$5,2,FALSE),"")</f>
        <v/>
      </c>
      <c r="M236" s="32" t="str">
        <f t="shared" si="3"/>
        <v/>
      </c>
    </row>
    <row r="237" spans="11:13" ht="14.25" customHeight="1" x14ac:dyDescent="0.35">
      <c r="K237" s="32" t="str">
        <f>IFERROR(VLOOKUP(G237,'Taxonomy Sheet'!$A$3:$C$6,2,FALSE),"")</f>
        <v/>
      </c>
      <c r="L237" s="32" t="str">
        <f>IFERROR(VLOOKUP(F237,'Taxonomy Sheet'!$E$3:$F$5,2,FALSE),"")</f>
        <v/>
      </c>
      <c r="M237" s="32" t="str">
        <f t="shared" si="3"/>
        <v/>
      </c>
    </row>
    <row r="238" spans="11:13" ht="14.25" customHeight="1" x14ac:dyDescent="0.35">
      <c r="K238" s="32" t="str">
        <f>IFERROR(VLOOKUP(G238,'Taxonomy Sheet'!$A$3:$C$6,2,FALSE),"")</f>
        <v/>
      </c>
      <c r="L238" s="32" t="str">
        <f>IFERROR(VLOOKUP(F238,'Taxonomy Sheet'!$E$3:$F$5,2,FALSE),"")</f>
        <v/>
      </c>
      <c r="M238" s="32" t="str">
        <f t="shared" si="3"/>
        <v/>
      </c>
    </row>
    <row r="239" spans="11:13" ht="14.25" customHeight="1" x14ac:dyDescent="0.35">
      <c r="K239" s="32" t="str">
        <f>IFERROR(VLOOKUP(G239,'Taxonomy Sheet'!$A$3:$C$6,2,FALSE),"")</f>
        <v/>
      </c>
      <c r="L239" s="32" t="str">
        <f>IFERROR(VLOOKUP(F239,'Taxonomy Sheet'!$E$3:$F$5,2,FALSE),"")</f>
        <v/>
      </c>
      <c r="M239" s="32" t="str">
        <f t="shared" si="3"/>
        <v/>
      </c>
    </row>
    <row r="240" spans="11:13" ht="14.25" customHeight="1" x14ac:dyDescent="0.35">
      <c r="K240" s="32" t="str">
        <f>IFERROR(VLOOKUP(G240,'Taxonomy Sheet'!$A$3:$C$6,2,FALSE),"")</f>
        <v/>
      </c>
      <c r="L240" s="32" t="str">
        <f>IFERROR(VLOOKUP(F240,'Taxonomy Sheet'!$E$3:$F$5,2,FALSE),"")</f>
        <v/>
      </c>
      <c r="M240" s="32" t="str">
        <f t="shared" si="3"/>
        <v/>
      </c>
    </row>
    <row r="241" spans="11:13" ht="14.25" customHeight="1" x14ac:dyDescent="0.35">
      <c r="K241" s="32" t="str">
        <f>IFERROR(VLOOKUP(G241,'Taxonomy Sheet'!$A$3:$C$6,2,FALSE),"")</f>
        <v/>
      </c>
      <c r="L241" s="32" t="str">
        <f>IFERROR(VLOOKUP(F241,'Taxonomy Sheet'!$E$3:$F$5,2,FALSE),"")</f>
        <v/>
      </c>
      <c r="M241" s="32" t="str">
        <f t="shared" si="3"/>
        <v/>
      </c>
    </row>
    <row r="242" spans="11:13" ht="14.25" customHeight="1" x14ac:dyDescent="0.35">
      <c r="K242" s="32" t="str">
        <f>IFERROR(VLOOKUP(G242,'Taxonomy Sheet'!$A$3:$C$6,2,FALSE),"")</f>
        <v/>
      </c>
      <c r="L242" s="32" t="str">
        <f>IFERROR(VLOOKUP(F242,'Taxonomy Sheet'!$E$3:$F$5,2,FALSE),"")</f>
        <v/>
      </c>
      <c r="M242" s="32" t="str">
        <f t="shared" si="3"/>
        <v/>
      </c>
    </row>
    <row r="243" spans="11:13" ht="14.25" customHeight="1" x14ac:dyDescent="0.35">
      <c r="K243" s="32" t="str">
        <f>IFERROR(VLOOKUP(G243,'Taxonomy Sheet'!$A$3:$C$6,2,FALSE),"")</f>
        <v/>
      </c>
      <c r="L243" s="32" t="str">
        <f>IFERROR(VLOOKUP(F243,'Taxonomy Sheet'!$E$3:$F$5,2,FALSE),"")</f>
        <v/>
      </c>
      <c r="M243" s="32" t="str">
        <f t="shared" si="3"/>
        <v/>
      </c>
    </row>
    <row r="244" spans="11:13" ht="14.25" customHeight="1" x14ac:dyDescent="0.35">
      <c r="K244" s="32" t="str">
        <f>IFERROR(VLOOKUP(G244,'Taxonomy Sheet'!$A$3:$C$6,2,FALSE),"")</f>
        <v/>
      </c>
      <c r="L244" s="32" t="str">
        <f>IFERROR(VLOOKUP(F244,'Taxonomy Sheet'!$E$3:$F$5,2,FALSE),"")</f>
        <v/>
      </c>
      <c r="M244" s="32" t="str">
        <f t="shared" si="3"/>
        <v/>
      </c>
    </row>
    <row r="245" spans="11:13" ht="14.25" customHeight="1" x14ac:dyDescent="0.35">
      <c r="K245" s="32" t="str">
        <f>IFERROR(VLOOKUP(G245,'Taxonomy Sheet'!$A$3:$C$6,2,FALSE),"")</f>
        <v/>
      </c>
      <c r="L245" s="32" t="str">
        <f>IFERROR(VLOOKUP(F245,'Taxonomy Sheet'!$E$3:$F$5,2,FALSE),"")</f>
        <v/>
      </c>
      <c r="M245" s="32" t="str">
        <f t="shared" si="3"/>
        <v/>
      </c>
    </row>
    <row r="246" spans="11:13" ht="14.25" customHeight="1" x14ac:dyDescent="0.35">
      <c r="K246" s="32" t="str">
        <f>IFERROR(VLOOKUP(G246,'Taxonomy Sheet'!$A$3:$C$6,2,FALSE),"")</f>
        <v/>
      </c>
      <c r="L246" s="32" t="str">
        <f>IFERROR(VLOOKUP(F246,'Taxonomy Sheet'!$E$3:$F$5,2,FALSE),"")</f>
        <v/>
      </c>
      <c r="M246" s="32" t="str">
        <f t="shared" si="3"/>
        <v/>
      </c>
    </row>
    <row r="247" spans="11:13" ht="14.25" customHeight="1" x14ac:dyDescent="0.35">
      <c r="K247" s="32" t="str">
        <f>IFERROR(VLOOKUP(G247,'Taxonomy Sheet'!$A$3:$C$6,2,FALSE),"")</f>
        <v/>
      </c>
      <c r="L247" s="32" t="str">
        <f>IFERROR(VLOOKUP(F247,'Taxonomy Sheet'!$E$3:$F$5,2,FALSE),"")</f>
        <v/>
      </c>
      <c r="M247" s="32" t="str">
        <f t="shared" si="3"/>
        <v/>
      </c>
    </row>
    <row r="248" spans="11:13" ht="14.25" customHeight="1" x14ac:dyDescent="0.35">
      <c r="K248" s="32" t="str">
        <f>IFERROR(VLOOKUP(G248,'Taxonomy Sheet'!$A$3:$C$6,2,FALSE),"")</f>
        <v/>
      </c>
      <c r="L248" s="32" t="str">
        <f>IFERROR(VLOOKUP(F248,'Taxonomy Sheet'!$E$3:$F$5,2,FALSE),"")</f>
        <v/>
      </c>
      <c r="M248" s="32" t="str">
        <f t="shared" si="3"/>
        <v/>
      </c>
    </row>
    <row r="249" spans="11:13" ht="14.25" customHeight="1" x14ac:dyDescent="0.35">
      <c r="K249" s="32" t="str">
        <f>IFERROR(VLOOKUP(G249,'Taxonomy Sheet'!$A$3:$C$6,2,FALSE),"")</f>
        <v/>
      </c>
      <c r="L249" s="32" t="str">
        <f>IFERROR(VLOOKUP(F249,'Taxonomy Sheet'!$E$3:$F$5,2,FALSE),"")</f>
        <v/>
      </c>
      <c r="M249" s="32" t="str">
        <f t="shared" si="3"/>
        <v/>
      </c>
    </row>
    <row r="250" spans="11:13" ht="14.25" customHeight="1" x14ac:dyDescent="0.35">
      <c r="K250" s="32" t="str">
        <f>IFERROR(VLOOKUP(G250,'Taxonomy Sheet'!$A$3:$C$6,2,FALSE),"")</f>
        <v/>
      </c>
      <c r="L250" s="32" t="str">
        <f>IFERROR(VLOOKUP(F250,'Taxonomy Sheet'!$E$3:$F$5,2,FALSE),"")</f>
        <v/>
      </c>
      <c r="M250" s="32" t="str">
        <f t="shared" si="3"/>
        <v/>
      </c>
    </row>
    <row r="251" spans="11:13" ht="14.25" customHeight="1" x14ac:dyDescent="0.35">
      <c r="K251" s="32" t="str">
        <f>IFERROR(VLOOKUP(G251,'Taxonomy Sheet'!$A$3:$C$6,2,FALSE),"")</f>
        <v/>
      </c>
      <c r="L251" s="32" t="str">
        <f>IFERROR(VLOOKUP(F251,'Taxonomy Sheet'!$E$3:$F$5,2,FALSE),"")</f>
        <v/>
      </c>
      <c r="M251" s="32" t="str">
        <f t="shared" si="3"/>
        <v/>
      </c>
    </row>
    <row r="252" spans="11:13" ht="14.25" customHeight="1" x14ac:dyDescent="0.35">
      <c r="K252" s="32" t="str">
        <f>IFERROR(VLOOKUP(G252,'Taxonomy Sheet'!$A$3:$C$6,2,FALSE),"")</f>
        <v/>
      </c>
      <c r="L252" s="32" t="str">
        <f>IFERROR(VLOOKUP(F252,'Taxonomy Sheet'!$E$3:$F$5,2,FALSE),"")</f>
        <v/>
      </c>
      <c r="M252" s="32" t="str">
        <f t="shared" si="3"/>
        <v/>
      </c>
    </row>
    <row r="253" spans="11:13" ht="14.25" customHeight="1" x14ac:dyDescent="0.35">
      <c r="K253" s="32" t="str">
        <f>IFERROR(VLOOKUP(G253,'Taxonomy Sheet'!$A$3:$C$6,2,FALSE),"")</f>
        <v/>
      </c>
      <c r="L253" s="32" t="str">
        <f>IFERROR(VLOOKUP(F253,'Taxonomy Sheet'!$E$3:$F$5,2,FALSE),"")</f>
        <v/>
      </c>
      <c r="M253" s="32" t="str">
        <f t="shared" si="3"/>
        <v/>
      </c>
    </row>
    <row r="254" spans="11:13" ht="14.25" customHeight="1" x14ac:dyDescent="0.35">
      <c r="K254" s="32" t="str">
        <f>IFERROR(VLOOKUP(G254,'Taxonomy Sheet'!$A$3:$C$6,2,FALSE),"")</f>
        <v/>
      </c>
      <c r="L254" s="32" t="str">
        <f>IFERROR(VLOOKUP(F254,'Taxonomy Sheet'!$E$3:$F$5,2,FALSE),"")</f>
        <v/>
      </c>
      <c r="M254" s="32" t="str">
        <f t="shared" si="3"/>
        <v/>
      </c>
    </row>
    <row r="255" spans="11:13" ht="14.25" customHeight="1" x14ac:dyDescent="0.35">
      <c r="K255" s="32" t="str">
        <f>IFERROR(VLOOKUP(G255,'Taxonomy Sheet'!$A$3:$C$6,2,FALSE),"")</f>
        <v/>
      </c>
      <c r="L255" s="32" t="str">
        <f>IFERROR(VLOOKUP(F255,'Taxonomy Sheet'!$E$3:$F$5,2,FALSE),"")</f>
        <v/>
      </c>
      <c r="M255" s="32" t="str">
        <f t="shared" si="3"/>
        <v/>
      </c>
    </row>
    <row r="256" spans="11:13" ht="14.25" customHeight="1" x14ac:dyDescent="0.35">
      <c r="K256" s="32" t="str">
        <f>IFERROR(VLOOKUP(G256,'Taxonomy Sheet'!$A$3:$C$6,2,FALSE),"")</f>
        <v/>
      </c>
      <c r="L256" s="32" t="str">
        <f>IFERROR(VLOOKUP(F256,'Taxonomy Sheet'!$E$3:$F$5,2,FALSE),"")</f>
        <v/>
      </c>
      <c r="M256" s="32" t="str">
        <f t="shared" si="3"/>
        <v/>
      </c>
    </row>
    <row r="257" spans="11:13" ht="14.25" customHeight="1" x14ac:dyDescent="0.35">
      <c r="K257" s="32" t="str">
        <f>IFERROR(VLOOKUP(G257,'Taxonomy Sheet'!$A$3:$C$6,2,FALSE),"")</f>
        <v/>
      </c>
      <c r="L257" s="32" t="str">
        <f>IFERROR(VLOOKUP(F257,'Taxonomy Sheet'!$E$3:$F$5,2,FALSE),"")</f>
        <v/>
      </c>
      <c r="M257" s="32" t="str">
        <f t="shared" si="3"/>
        <v/>
      </c>
    </row>
    <row r="258" spans="11:13" ht="14.25" customHeight="1" x14ac:dyDescent="0.35">
      <c r="K258" s="32" t="str">
        <f>IFERROR(VLOOKUP(G258,'Taxonomy Sheet'!$A$3:$C$6,2,FALSE),"")</f>
        <v/>
      </c>
      <c r="L258" s="32" t="str">
        <f>IFERROR(VLOOKUP(F258,'Taxonomy Sheet'!$E$3:$F$5,2,FALSE),"")</f>
        <v/>
      </c>
      <c r="M258" s="32" t="str">
        <f t="shared" si="3"/>
        <v/>
      </c>
    </row>
    <row r="259" spans="11:13" ht="14.25" customHeight="1" x14ac:dyDescent="0.35">
      <c r="K259" s="32" t="str">
        <f>IFERROR(VLOOKUP(G259,'Taxonomy Sheet'!$A$3:$C$6,2,FALSE),"")</f>
        <v/>
      </c>
      <c r="L259" s="32" t="str">
        <f>IFERROR(VLOOKUP(F259,'Taxonomy Sheet'!$E$3:$F$5,2,FALSE),"")</f>
        <v/>
      </c>
      <c r="M259" s="32" t="str">
        <f t="shared" si="3"/>
        <v/>
      </c>
    </row>
    <row r="260" spans="11:13" ht="14.25" customHeight="1" x14ac:dyDescent="0.35">
      <c r="K260" s="32" t="str">
        <f>IFERROR(VLOOKUP(G260,'Taxonomy Sheet'!$A$3:$C$6,2,FALSE),"")</f>
        <v/>
      </c>
      <c r="L260" s="32" t="str">
        <f>IFERROR(VLOOKUP(F260,'Taxonomy Sheet'!$E$3:$F$5,2,FALSE),"")</f>
        <v/>
      </c>
      <c r="M260" s="32" t="str">
        <f t="shared" si="3"/>
        <v/>
      </c>
    </row>
    <row r="261" spans="11:13" ht="14.25" customHeight="1" x14ac:dyDescent="0.35">
      <c r="K261" s="32" t="str">
        <f>IFERROR(VLOOKUP(G261,'Taxonomy Sheet'!$A$3:$C$6,2,FALSE),"")</f>
        <v/>
      </c>
      <c r="L261" s="32" t="str">
        <f>IFERROR(VLOOKUP(F261,'Taxonomy Sheet'!$E$3:$F$5,2,FALSE),"")</f>
        <v/>
      </c>
      <c r="M261" s="32" t="str">
        <f t="shared" si="3"/>
        <v/>
      </c>
    </row>
    <row r="262" spans="11:13" ht="14.25" customHeight="1" x14ac:dyDescent="0.35">
      <c r="K262" s="32" t="str">
        <f>IFERROR(VLOOKUP(G262,'Taxonomy Sheet'!$A$3:$C$6,2,FALSE),"")</f>
        <v/>
      </c>
      <c r="L262" s="32" t="str">
        <f>IFERROR(VLOOKUP(F262,'Taxonomy Sheet'!$E$3:$F$5,2,FALSE),"")</f>
        <v/>
      </c>
      <c r="M262" s="32" t="str">
        <f t="shared" si="3"/>
        <v/>
      </c>
    </row>
    <row r="263" spans="11:13" ht="14.25" customHeight="1" x14ac:dyDescent="0.35">
      <c r="K263" s="32" t="str">
        <f>IFERROR(VLOOKUP(G263,'Taxonomy Sheet'!$A$3:$C$6,2,FALSE),"")</f>
        <v/>
      </c>
      <c r="L263" s="32" t="str">
        <f>IFERROR(VLOOKUP(F263,'Taxonomy Sheet'!$E$3:$F$5,2,FALSE),"")</f>
        <v/>
      </c>
      <c r="M263" s="32" t="str">
        <f t="shared" si="3"/>
        <v/>
      </c>
    </row>
    <row r="264" spans="11:13" ht="14.25" customHeight="1" x14ac:dyDescent="0.35">
      <c r="K264" s="32" t="str">
        <f>IFERROR(VLOOKUP(G264,'Taxonomy Sheet'!$A$3:$C$6,2,FALSE),"")</f>
        <v/>
      </c>
      <c r="L264" s="32" t="str">
        <f>IFERROR(VLOOKUP(F264,'Taxonomy Sheet'!$E$3:$F$5,2,FALSE),"")</f>
        <v/>
      </c>
      <c r="M264" s="32" t="str">
        <f t="shared" si="3"/>
        <v/>
      </c>
    </row>
    <row r="265" spans="11:13" ht="14.25" customHeight="1" x14ac:dyDescent="0.35">
      <c r="K265" s="32" t="str">
        <f>IFERROR(VLOOKUP(G265,'Taxonomy Sheet'!$A$3:$C$6,2,FALSE),"")</f>
        <v/>
      </c>
      <c r="L265" s="32" t="str">
        <f>IFERROR(VLOOKUP(F265,'Taxonomy Sheet'!$E$3:$F$5,2,FALSE),"")</f>
        <v/>
      </c>
      <c r="M265" s="32" t="str">
        <f t="shared" si="3"/>
        <v/>
      </c>
    </row>
    <row r="266" spans="11:13" ht="14.25" customHeight="1" x14ac:dyDescent="0.35">
      <c r="K266" s="32" t="str">
        <f>IFERROR(VLOOKUP(G266,'Taxonomy Sheet'!$A$3:$C$6,2,FALSE),"")</f>
        <v/>
      </c>
      <c r="L266" s="32" t="str">
        <f>IFERROR(VLOOKUP(F266,'Taxonomy Sheet'!$E$3:$F$5,2,FALSE),"")</f>
        <v/>
      </c>
      <c r="M266" s="32" t="str">
        <f t="shared" si="3"/>
        <v/>
      </c>
    </row>
    <row r="267" spans="11:13" ht="14.25" customHeight="1" x14ac:dyDescent="0.35">
      <c r="K267" s="32" t="str">
        <f>IFERROR(VLOOKUP(G267,'Taxonomy Sheet'!$A$3:$C$6,2,FALSE),"")</f>
        <v/>
      </c>
      <c r="L267" s="32" t="str">
        <f>IFERROR(VLOOKUP(F267,'Taxonomy Sheet'!$E$3:$F$5,2,FALSE),"")</f>
        <v/>
      </c>
      <c r="M267" s="32" t="str">
        <f t="shared" si="3"/>
        <v/>
      </c>
    </row>
    <row r="268" spans="11:13" ht="14.25" customHeight="1" x14ac:dyDescent="0.35">
      <c r="K268" s="32" t="str">
        <f>IFERROR(VLOOKUP(G268,'Taxonomy Sheet'!$A$3:$C$6,2,FALSE),"")</f>
        <v/>
      </c>
      <c r="L268" s="32" t="str">
        <f>IFERROR(VLOOKUP(F268,'Taxonomy Sheet'!$E$3:$F$5,2,FALSE),"")</f>
        <v/>
      </c>
      <c r="M268" s="32" t="str">
        <f t="shared" si="3"/>
        <v/>
      </c>
    </row>
    <row r="269" spans="11:13" ht="14.25" customHeight="1" x14ac:dyDescent="0.35">
      <c r="K269" s="32" t="str">
        <f>IFERROR(VLOOKUP(G269,'Taxonomy Sheet'!$A$3:$C$6,2,FALSE),"")</f>
        <v/>
      </c>
      <c r="L269" s="32" t="str">
        <f>IFERROR(VLOOKUP(F269,'Taxonomy Sheet'!$E$3:$F$5,2,FALSE),"")</f>
        <v/>
      </c>
      <c r="M269" s="32" t="str">
        <f t="shared" ref="M269:M332" si="4">IF(OR(K269="",L269=""),"",K269*L269)</f>
        <v/>
      </c>
    </row>
    <row r="270" spans="11:13" ht="14.25" customHeight="1" x14ac:dyDescent="0.35">
      <c r="K270" s="32" t="str">
        <f>IFERROR(VLOOKUP(G270,'Taxonomy Sheet'!$A$3:$C$6,2,FALSE),"")</f>
        <v/>
      </c>
      <c r="L270" s="32" t="str">
        <f>IFERROR(VLOOKUP(F270,'Taxonomy Sheet'!$E$3:$F$5,2,FALSE),"")</f>
        <v/>
      </c>
      <c r="M270" s="32" t="str">
        <f t="shared" si="4"/>
        <v/>
      </c>
    </row>
    <row r="271" spans="11:13" ht="14.25" customHeight="1" x14ac:dyDescent="0.35">
      <c r="K271" s="32" t="str">
        <f>IFERROR(VLOOKUP(G271,'Taxonomy Sheet'!$A$3:$C$6,2,FALSE),"")</f>
        <v/>
      </c>
      <c r="L271" s="32" t="str">
        <f>IFERROR(VLOOKUP(F271,'Taxonomy Sheet'!$E$3:$F$5,2,FALSE),"")</f>
        <v/>
      </c>
      <c r="M271" s="32" t="str">
        <f t="shared" si="4"/>
        <v/>
      </c>
    </row>
    <row r="272" spans="11:13" ht="14.25" customHeight="1" x14ac:dyDescent="0.35">
      <c r="K272" s="32" t="str">
        <f>IFERROR(VLOOKUP(G272,'Taxonomy Sheet'!$A$3:$C$6,2,FALSE),"")</f>
        <v/>
      </c>
      <c r="L272" s="32" t="str">
        <f>IFERROR(VLOOKUP(F272,'Taxonomy Sheet'!$E$3:$F$5,2,FALSE),"")</f>
        <v/>
      </c>
      <c r="M272" s="32" t="str">
        <f t="shared" si="4"/>
        <v/>
      </c>
    </row>
    <row r="273" spans="11:13" ht="14.25" customHeight="1" x14ac:dyDescent="0.35">
      <c r="K273" s="32" t="str">
        <f>IFERROR(VLOOKUP(G273,'Taxonomy Sheet'!$A$3:$C$6,2,FALSE),"")</f>
        <v/>
      </c>
      <c r="L273" s="32" t="str">
        <f>IFERROR(VLOOKUP(F273,'Taxonomy Sheet'!$E$3:$F$5,2,FALSE),"")</f>
        <v/>
      </c>
      <c r="M273" s="32" t="str">
        <f t="shared" si="4"/>
        <v/>
      </c>
    </row>
    <row r="274" spans="11:13" ht="14.25" customHeight="1" x14ac:dyDescent="0.35">
      <c r="K274" s="32" t="str">
        <f>IFERROR(VLOOKUP(G274,'Taxonomy Sheet'!$A$3:$C$6,2,FALSE),"")</f>
        <v/>
      </c>
      <c r="L274" s="32" t="str">
        <f>IFERROR(VLOOKUP(F274,'Taxonomy Sheet'!$E$3:$F$5,2,FALSE),"")</f>
        <v/>
      </c>
      <c r="M274" s="32" t="str">
        <f t="shared" si="4"/>
        <v/>
      </c>
    </row>
    <row r="275" spans="11:13" ht="14.25" customHeight="1" x14ac:dyDescent="0.35">
      <c r="K275" s="32" t="str">
        <f>IFERROR(VLOOKUP(G275,'Taxonomy Sheet'!$A$3:$C$6,2,FALSE),"")</f>
        <v/>
      </c>
      <c r="L275" s="32" t="str">
        <f>IFERROR(VLOOKUP(F275,'Taxonomy Sheet'!$E$3:$F$5,2,FALSE),"")</f>
        <v/>
      </c>
      <c r="M275" s="32" t="str">
        <f t="shared" si="4"/>
        <v/>
      </c>
    </row>
    <row r="276" spans="11:13" ht="14.25" customHeight="1" x14ac:dyDescent="0.35">
      <c r="K276" s="32" t="str">
        <f>IFERROR(VLOOKUP(G276,'Taxonomy Sheet'!$A$3:$C$6,2,FALSE),"")</f>
        <v/>
      </c>
      <c r="L276" s="32" t="str">
        <f>IFERROR(VLOOKUP(F276,'Taxonomy Sheet'!$E$3:$F$5,2,FALSE),"")</f>
        <v/>
      </c>
      <c r="M276" s="32" t="str">
        <f t="shared" si="4"/>
        <v/>
      </c>
    </row>
    <row r="277" spans="11:13" ht="14.25" customHeight="1" x14ac:dyDescent="0.35">
      <c r="K277" s="32" t="str">
        <f>IFERROR(VLOOKUP(G277,'Taxonomy Sheet'!$A$3:$C$6,2,FALSE),"")</f>
        <v/>
      </c>
      <c r="L277" s="32" t="str">
        <f>IFERROR(VLOOKUP(F277,'Taxonomy Sheet'!$E$3:$F$5,2,FALSE),"")</f>
        <v/>
      </c>
      <c r="M277" s="32" t="str">
        <f t="shared" si="4"/>
        <v/>
      </c>
    </row>
    <row r="278" spans="11:13" ht="14.25" customHeight="1" x14ac:dyDescent="0.35">
      <c r="K278" s="32" t="str">
        <f>IFERROR(VLOOKUP(G278,'Taxonomy Sheet'!$A$3:$C$6,2,FALSE),"")</f>
        <v/>
      </c>
      <c r="L278" s="32" t="str">
        <f>IFERROR(VLOOKUP(F278,'Taxonomy Sheet'!$E$3:$F$5,2,FALSE),"")</f>
        <v/>
      </c>
      <c r="M278" s="32" t="str">
        <f t="shared" si="4"/>
        <v/>
      </c>
    </row>
    <row r="279" spans="11:13" ht="14.25" customHeight="1" x14ac:dyDescent="0.35">
      <c r="K279" s="32" t="str">
        <f>IFERROR(VLOOKUP(G279,'Taxonomy Sheet'!$A$3:$C$6,2,FALSE),"")</f>
        <v/>
      </c>
      <c r="L279" s="32" t="str">
        <f>IFERROR(VLOOKUP(F279,'Taxonomy Sheet'!$E$3:$F$5,2,FALSE),"")</f>
        <v/>
      </c>
      <c r="M279" s="32" t="str">
        <f t="shared" si="4"/>
        <v/>
      </c>
    </row>
    <row r="280" spans="11:13" ht="14.25" customHeight="1" x14ac:dyDescent="0.35">
      <c r="K280" s="32" t="str">
        <f>IFERROR(VLOOKUP(G280,'Taxonomy Sheet'!$A$3:$C$6,2,FALSE),"")</f>
        <v/>
      </c>
      <c r="L280" s="32" t="str">
        <f>IFERROR(VLOOKUP(F280,'Taxonomy Sheet'!$E$3:$F$5,2,FALSE),"")</f>
        <v/>
      </c>
      <c r="M280" s="32" t="str">
        <f t="shared" si="4"/>
        <v/>
      </c>
    </row>
    <row r="281" spans="11:13" ht="14.25" customHeight="1" x14ac:dyDescent="0.35">
      <c r="K281" s="32" t="str">
        <f>IFERROR(VLOOKUP(G281,'Taxonomy Sheet'!$A$3:$C$6,2,FALSE),"")</f>
        <v/>
      </c>
      <c r="L281" s="32" t="str">
        <f>IFERROR(VLOOKUP(F281,'Taxonomy Sheet'!$E$3:$F$5,2,FALSE),"")</f>
        <v/>
      </c>
      <c r="M281" s="32" t="str">
        <f t="shared" si="4"/>
        <v/>
      </c>
    </row>
    <row r="282" spans="11:13" ht="14.25" customHeight="1" x14ac:dyDescent="0.35">
      <c r="K282" s="32" t="str">
        <f>IFERROR(VLOOKUP(G282,'Taxonomy Sheet'!$A$3:$C$6,2,FALSE),"")</f>
        <v/>
      </c>
      <c r="L282" s="32" t="str">
        <f>IFERROR(VLOOKUP(F282,'Taxonomy Sheet'!$E$3:$F$5,2,FALSE),"")</f>
        <v/>
      </c>
      <c r="M282" s="32" t="str">
        <f t="shared" si="4"/>
        <v/>
      </c>
    </row>
    <row r="283" spans="11:13" ht="14.25" customHeight="1" x14ac:dyDescent="0.35">
      <c r="K283" s="32" t="str">
        <f>IFERROR(VLOOKUP(G283,'Taxonomy Sheet'!$A$3:$C$6,2,FALSE),"")</f>
        <v/>
      </c>
      <c r="L283" s="32" t="str">
        <f>IFERROR(VLOOKUP(F283,'Taxonomy Sheet'!$E$3:$F$5,2,FALSE),"")</f>
        <v/>
      </c>
      <c r="M283" s="32" t="str">
        <f t="shared" si="4"/>
        <v/>
      </c>
    </row>
    <row r="284" spans="11:13" ht="14.25" customHeight="1" x14ac:dyDescent="0.35">
      <c r="K284" s="32" t="str">
        <f>IFERROR(VLOOKUP(G284,'Taxonomy Sheet'!$A$3:$C$6,2,FALSE),"")</f>
        <v/>
      </c>
      <c r="L284" s="32" t="str">
        <f>IFERROR(VLOOKUP(F284,'Taxonomy Sheet'!$E$3:$F$5,2,FALSE),"")</f>
        <v/>
      </c>
      <c r="M284" s="32" t="str">
        <f t="shared" si="4"/>
        <v/>
      </c>
    </row>
    <row r="285" spans="11:13" ht="14.25" customHeight="1" x14ac:dyDescent="0.35">
      <c r="K285" s="32" t="str">
        <f>IFERROR(VLOOKUP(G285,'Taxonomy Sheet'!$A$3:$C$6,2,FALSE),"")</f>
        <v/>
      </c>
      <c r="L285" s="32" t="str">
        <f>IFERROR(VLOOKUP(F285,'Taxonomy Sheet'!$E$3:$F$5,2,FALSE),"")</f>
        <v/>
      </c>
      <c r="M285" s="32" t="str">
        <f t="shared" si="4"/>
        <v/>
      </c>
    </row>
    <row r="286" spans="11:13" ht="14.25" customHeight="1" x14ac:dyDescent="0.35">
      <c r="K286" s="32" t="str">
        <f>IFERROR(VLOOKUP(G286,'Taxonomy Sheet'!$A$3:$C$6,2,FALSE),"")</f>
        <v/>
      </c>
      <c r="L286" s="32" t="str">
        <f>IFERROR(VLOOKUP(F286,'Taxonomy Sheet'!$E$3:$F$5,2,FALSE),"")</f>
        <v/>
      </c>
      <c r="M286" s="32" t="str">
        <f t="shared" si="4"/>
        <v/>
      </c>
    </row>
    <row r="287" spans="11:13" ht="14.25" customHeight="1" x14ac:dyDescent="0.35">
      <c r="K287" s="32" t="str">
        <f>IFERROR(VLOOKUP(G287,'Taxonomy Sheet'!$A$3:$C$6,2,FALSE),"")</f>
        <v/>
      </c>
      <c r="L287" s="32" t="str">
        <f>IFERROR(VLOOKUP(F287,'Taxonomy Sheet'!$E$3:$F$5,2,FALSE),"")</f>
        <v/>
      </c>
      <c r="M287" s="32" t="str">
        <f t="shared" si="4"/>
        <v/>
      </c>
    </row>
    <row r="288" spans="11:13" ht="14.25" customHeight="1" x14ac:dyDescent="0.35">
      <c r="K288" s="32" t="str">
        <f>IFERROR(VLOOKUP(G288,'Taxonomy Sheet'!$A$3:$C$6,2,FALSE),"")</f>
        <v/>
      </c>
      <c r="L288" s="32" t="str">
        <f>IFERROR(VLOOKUP(F288,'Taxonomy Sheet'!$E$3:$F$5,2,FALSE),"")</f>
        <v/>
      </c>
      <c r="M288" s="32" t="str">
        <f t="shared" si="4"/>
        <v/>
      </c>
    </row>
    <row r="289" spans="11:13" ht="14.25" customHeight="1" x14ac:dyDescent="0.35">
      <c r="K289" s="32" t="str">
        <f>IFERROR(VLOOKUP(G289,'Taxonomy Sheet'!$A$3:$C$6,2,FALSE),"")</f>
        <v/>
      </c>
      <c r="L289" s="32" t="str">
        <f>IFERROR(VLOOKUP(F289,'Taxonomy Sheet'!$E$3:$F$5,2,FALSE),"")</f>
        <v/>
      </c>
      <c r="M289" s="32" t="str">
        <f t="shared" si="4"/>
        <v/>
      </c>
    </row>
    <row r="290" spans="11:13" ht="14.25" customHeight="1" x14ac:dyDescent="0.35">
      <c r="K290" s="32" t="str">
        <f>IFERROR(VLOOKUP(G290,'Taxonomy Sheet'!$A$3:$C$6,2,FALSE),"")</f>
        <v/>
      </c>
      <c r="L290" s="32" t="str">
        <f>IFERROR(VLOOKUP(F290,'Taxonomy Sheet'!$E$3:$F$5,2,FALSE),"")</f>
        <v/>
      </c>
      <c r="M290" s="32" t="str">
        <f t="shared" si="4"/>
        <v/>
      </c>
    </row>
    <row r="291" spans="11:13" ht="14.25" customHeight="1" x14ac:dyDescent="0.35">
      <c r="K291" s="32" t="str">
        <f>IFERROR(VLOOKUP(G291,'Taxonomy Sheet'!$A$3:$C$6,2,FALSE),"")</f>
        <v/>
      </c>
      <c r="L291" s="32" t="str">
        <f>IFERROR(VLOOKUP(F291,'Taxonomy Sheet'!$E$3:$F$5,2,FALSE),"")</f>
        <v/>
      </c>
      <c r="M291" s="32" t="str">
        <f t="shared" si="4"/>
        <v/>
      </c>
    </row>
    <row r="292" spans="11:13" ht="14.25" customHeight="1" x14ac:dyDescent="0.35">
      <c r="K292" s="32" t="str">
        <f>IFERROR(VLOOKUP(G292,'Taxonomy Sheet'!$A$3:$C$6,2,FALSE),"")</f>
        <v/>
      </c>
      <c r="L292" s="32" t="str">
        <f>IFERROR(VLOOKUP(F292,'Taxonomy Sheet'!$E$3:$F$5,2,FALSE),"")</f>
        <v/>
      </c>
      <c r="M292" s="32" t="str">
        <f t="shared" si="4"/>
        <v/>
      </c>
    </row>
    <row r="293" spans="11:13" ht="14.25" customHeight="1" x14ac:dyDescent="0.35">
      <c r="K293" s="32" t="str">
        <f>IFERROR(VLOOKUP(G293,'Taxonomy Sheet'!$A$3:$C$6,2,FALSE),"")</f>
        <v/>
      </c>
      <c r="L293" s="32" t="str">
        <f>IFERROR(VLOOKUP(F293,'Taxonomy Sheet'!$E$3:$F$5,2,FALSE),"")</f>
        <v/>
      </c>
      <c r="M293" s="32" t="str">
        <f t="shared" si="4"/>
        <v/>
      </c>
    </row>
    <row r="294" spans="11:13" ht="14.25" customHeight="1" x14ac:dyDescent="0.35">
      <c r="K294" s="32" t="str">
        <f>IFERROR(VLOOKUP(G294,'Taxonomy Sheet'!$A$3:$C$6,2,FALSE),"")</f>
        <v/>
      </c>
      <c r="L294" s="32" t="str">
        <f>IFERROR(VLOOKUP(F294,'Taxonomy Sheet'!$E$3:$F$5,2,FALSE),"")</f>
        <v/>
      </c>
      <c r="M294" s="32" t="str">
        <f t="shared" si="4"/>
        <v/>
      </c>
    </row>
    <row r="295" spans="11:13" ht="14.25" customHeight="1" x14ac:dyDescent="0.35">
      <c r="K295" s="32" t="str">
        <f>IFERROR(VLOOKUP(G295,'Taxonomy Sheet'!$A$3:$C$6,2,FALSE),"")</f>
        <v/>
      </c>
      <c r="L295" s="32" t="str">
        <f>IFERROR(VLOOKUP(F295,'Taxonomy Sheet'!$E$3:$F$5,2,FALSE),"")</f>
        <v/>
      </c>
      <c r="M295" s="32" t="str">
        <f t="shared" si="4"/>
        <v/>
      </c>
    </row>
    <row r="296" spans="11:13" ht="14.25" customHeight="1" x14ac:dyDescent="0.35">
      <c r="K296" s="32" t="str">
        <f>IFERROR(VLOOKUP(G296,'Taxonomy Sheet'!$A$3:$C$6,2,FALSE),"")</f>
        <v/>
      </c>
      <c r="L296" s="32" t="str">
        <f>IFERROR(VLOOKUP(F296,'Taxonomy Sheet'!$E$3:$F$5,2,FALSE),"")</f>
        <v/>
      </c>
      <c r="M296" s="32" t="str">
        <f t="shared" si="4"/>
        <v/>
      </c>
    </row>
    <row r="297" spans="11:13" ht="14.25" customHeight="1" x14ac:dyDescent="0.35">
      <c r="K297" s="32" t="str">
        <f>IFERROR(VLOOKUP(G297,'Taxonomy Sheet'!$A$3:$C$6,2,FALSE),"")</f>
        <v/>
      </c>
      <c r="L297" s="32" t="str">
        <f>IFERROR(VLOOKUP(F297,'Taxonomy Sheet'!$E$3:$F$5,2,FALSE),"")</f>
        <v/>
      </c>
      <c r="M297" s="32" t="str">
        <f t="shared" si="4"/>
        <v/>
      </c>
    </row>
    <row r="298" spans="11:13" ht="14.25" customHeight="1" x14ac:dyDescent="0.35">
      <c r="K298" s="32" t="str">
        <f>IFERROR(VLOOKUP(G298,'Taxonomy Sheet'!$A$3:$C$6,2,FALSE),"")</f>
        <v/>
      </c>
      <c r="L298" s="32" t="str">
        <f>IFERROR(VLOOKUP(F298,'Taxonomy Sheet'!$E$3:$F$5,2,FALSE),"")</f>
        <v/>
      </c>
      <c r="M298" s="32" t="str">
        <f t="shared" si="4"/>
        <v/>
      </c>
    </row>
    <row r="299" spans="11:13" ht="14.25" customHeight="1" x14ac:dyDescent="0.35">
      <c r="K299" s="32" t="str">
        <f>IFERROR(VLOOKUP(G299,'Taxonomy Sheet'!$A$3:$C$6,2,FALSE),"")</f>
        <v/>
      </c>
      <c r="L299" s="32" t="str">
        <f>IFERROR(VLOOKUP(F299,'Taxonomy Sheet'!$E$3:$F$5,2,FALSE),"")</f>
        <v/>
      </c>
      <c r="M299" s="32" t="str">
        <f t="shared" si="4"/>
        <v/>
      </c>
    </row>
    <row r="300" spans="11:13" ht="14.25" customHeight="1" x14ac:dyDescent="0.35">
      <c r="K300" s="32" t="str">
        <f>IFERROR(VLOOKUP(G300,'Taxonomy Sheet'!$A$3:$C$6,2,FALSE),"")</f>
        <v/>
      </c>
      <c r="L300" s="32" t="str">
        <f>IFERROR(VLOOKUP(F300,'Taxonomy Sheet'!$E$3:$F$5,2,FALSE),"")</f>
        <v/>
      </c>
      <c r="M300" s="32" t="str">
        <f t="shared" si="4"/>
        <v/>
      </c>
    </row>
    <row r="301" spans="11:13" ht="14.25" customHeight="1" x14ac:dyDescent="0.35">
      <c r="K301" s="32" t="str">
        <f>IFERROR(VLOOKUP(G301,'Taxonomy Sheet'!$A$3:$C$6,2,FALSE),"")</f>
        <v/>
      </c>
      <c r="L301" s="32" t="str">
        <f>IFERROR(VLOOKUP(F301,'Taxonomy Sheet'!$E$3:$F$5,2,FALSE),"")</f>
        <v/>
      </c>
      <c r="M301" s="32" t="str">
        <f t="shared" si="4"/>
        <v/>
      </c>
    </row>
    <row r="302" spans="11:13" ht="14.25" customHeight="1" x14ac:dyDescent="0.35">
      <c r="K302" s="32" t="str">
        <f>IFERROR(VLOOKUP(G302,'Taxonomy Sheet'!$A$3:$C$6,2,FALSE),"")</f>
        <v/>
      </c>
      <c r="L302" s="32" t="str">
        <f>IFERROR(VLOOKUP(F302,'Taxonomy Sheet'!$E$3:$F$5,2,FALSE),"")</f>
        <v/>
      </c>
      <c r="M302" s="32" t="str">
        <f t="shared" si="4"/>
        <v/>
      </c>
    </row>
    <row r="303" spans="11:13" ht="14.25" customHeight="1" x14ac:dyDescent="0.35">
      <c r="K303" s="32" t="str">
        <f>IFERROR(VLOOKUP(G303,'Taxonomy Sheet'!$A$3:$C$6,2,FALSE),"")</f>
        <v/>
      </c>
      <c r="L303" s="32" t="str">
        <f>IFERROR(VLOOKUP(F303,'Taxonomy Sheet'!$E$3:$F$5,2,FALSE),"")</f>
        <v/>
      </c>
      <c r="M303" s="32" t="str">
        <f t="shared" si="4"/>
        <v/>
      </c>
    </row>
    <row r="304" spans="11:13" ht="14.25" customHeight="1" x14ac:dyDescent="0.35">
      <c r="K304" s="32" t="str">
        <f>IFERROR(VLOOKUP(G304,'Taxonomy Sheet'!$A$3:$C$6,2,FALSE),"")</f>
        <v/>
      </c>
      <c r="L304" s="32" t="str">
        <f>IFERROR(VLOOKUP(F304,'Taxonomy Sheet'!$E$3:$F$5,2,FALSE),"")</f>
        <v/>
      </c>
      <c r="M304" s="32" t="str">
        <f t="shared" si="4"/>
        <v/>
      </c>
    </row>
    <row r="305" spans="11:13" ht="14.25" customHeight="1" x14ac:dyDescent="0.35">
      <c r="K305" s="32" t="str">
        <f>IFERROR(VLOOKUP(G305,'Taxonomy Sheet'!$A$3:$C$6,2,FALSE),"")</f>
        <v/>
      </c>
      <c r="L305" s="32" t="str">
        <f>IFERROR(VLOOKUP(F305,'Taxonomy Sheet'!$E$3:$F$5,2,FALSE),"")</f>
        <v/>
      </c>
      <c r="M305" s="32" t="str">
        <f t="shared" si="4"/>
        <v/>
      </c>
    </row>
    <row r="306" spans="11:13" ht="14.25" customHeight="1" x14ac:dyDescent="0.35">
      <c r="K306" s="32" t="str">
        <f>IFERROR(VLOOKUP(G306,'Taxonomy Sheet'!$A$3:$C$6,2,FALSE),"")</f>
        <v/>
      </c>
      <c r="L306" s="32" t="str">
        <f>IFERROR(VLOOKUP(F306,'Taxonomy Sheet'!$E$3:$F$5,2,FALSE),"")</f>
        <v/>
      </c>
      <c r="M306" s="32" t="str">
        <f t="shared" si="4"/>
        <v/>
      </c>
    </row>
    <row r="307" spans="11:13" ht="14.25" customHeight="1" x14ac:dyDescent="0.35">
      <c r="K307" s="32" t="str">
        <f>IFERROR(VLOOKUP(G307,'Taxonomy Sheet'!$A$3:$C$6,2,FALSE),"")</f>
        <v/>
      </c>
      <c r="L307" s="32" t="str">
        <f>IFERROR(VLOOKUP(F307,'Taxonomy Sheet'!$E$3:$F$5,2,FALSE),"")</f>
        <v/>
      </c>
      <c r="M307" s="32" t="str">
        <f t="shared" si="4"/>
        <v/>
      </c>
    </row>
    <row r="308" spans="11:13" ht="14.25" customHeight="1" x14ac:dyDescent="0.35">
      <c r="K308" s="32" t="str">
        <f>IFERROR(VLOOKUP(G308,'Taxonomy Sheet'!$A$3:$C$6,2,FALSE),"")</f>
        <v/>
      </c>
      <c r="L308" s="32" t="str">
        <f>IFERROR(VLOOKUP(F308,'Taxonomy Sheet'!$E$3:$F$5,2,FALSE),"")</f>
        <v/>
      </c>
      <c r="M308" s="32" t="str">
        <f t="shared" si="4"/>
        <v/>
      </c>
    </row>
    <row r="309" spans="11:13" ht="14.25" customHeight="1" x14ac:dyDescent="0.35">
      <c r="K309" s="32" t="str">
        <f>IFERROR(VLOOKUP(G309,'Taxonomy Sheet'!$A$3:$C$6,2,FALSE),"")</f>
        <v/>
      </c>
      <c r="L309" s="32" t="str">
        <f>IFERROR(VLOOKUP(F309,'Taxonomy Sheet'!$E$3:$F$5,2,FALSE),"")</f>
        <v/>
      </c>
      <c r="M309" s="32" t="str">
        <f t="shared" si="4"/>
        <v/>
      </c>
    </row>
    <row r="310" spans="11:13" ht="14.25" customHeight="1" x14ac:dyDescent="0.35">
      <c r="K310" s="32" t="str">
        <f>IFERROR(VLOOKUP(G310,'Taxonomy Sheet'!$A$3:$C$6,2,FALSE),"")</f>
        <v/>
      </c>
      <c r="L310" s="32" t="str">
        <f>IFERROR(VLOOKUP(F310,'Taxonomy Sheet'!$E$3:$F$5,2,FALSE),"")</f>
        <v/>
      </c>
      <c r="M310" s="32" t="str">
        <f t="shared" si="4"/>
        <v/>
      </c>
    </row>
    <row r="311" spans="11:13" ht="14.25" customHeight="1" x14ac:dyDescent="0.35">
      <c r="K311" s="32" t="str">
        <f>IFERROR(VLOOKUP(G311,'Taxonomy Sheet'!$A$3:$C$6,2,FALSE),"")</f>
        <v/>
      </c>
      <c r="L311" s="32" t="str">
        <f>IFERROR(VLOOKUP(F311,'Taxonomy Sheet'!$E$3:$F$5,2,FALSE),"")</f>
        <v/>
      </c>
      <c r="M311" s="32" t="str">
        <f t="shared" si="4"/>
        <v/>
      </c>
    </row>
    <row r="312" spans="11:13" ht="14.25" customHeight="1" x14ac:dyDescent="0.35">
      <c r="K312" s="32" t="str">
        <f>IFERROR(VLOOKUP(G312,'Taxonomy Sheet'!$A$3:$C$6,2,FALSE),"")</f>
        <v/>
      </c>
      <c r="L312" s="32" t="str">
        <f>IFERROR(VLOOKUP(F312,'Taxonomy Sheet'!$E$3:$F$5,2,FALSE),"")</f>
        <v/>
      </c>
      <c r="M312" s="32" t="str">
        <f t="shared" si="4"/>
        <v/>
      </c>
    </row>
    <row r="313" spans="11:13" ht="14.25" customHeight="1" x14ac:dyDescent="0.35">
      <c r="K313" s="32" t="str">
        <f>IFERROR(VLOOKUP(G313,'Taxonomy Sheet'!$A$3:$C$6,2,FALSE),"")</f>
        <v/>
      </c>
      <c r="L313" s="32" t="str">
        <f>IFERROR(VLOOKUP(F313,'Taxonomy Sheet'!$E$3:$F$5,2,FALSE),"")</f>
        <v/>
      </c>
      <c r="M313" s="32" t="str">
        <f t="shared" si="4"/>
        <v/>
      </c>
    </row>
    <row r="314" spans="11:13" ht="14.25" customHeight="1" x14ac:dyDescent="0.35">
      <c r="K314" s="32" t="str">
        <f>IFERROR(VLOOKUP(G314,'Taxonomy Sheet'!$A$3:$C$6,2,FALSE),"")</f>
        <v/>
      </c>
      <c r="L314" s="32" t="str">
        <f>IFERROR(VLOOKUP(F314,'Taxonomy Sheet'!$E$3:$F$5,2,FALSE),"")</f>
        <v/>
      </c>
      <c r="M314" s="32" t="str">
        <f t="shared" si="4"/>
        <v/>
      </c>
    </row>
    <row r="315" spans="11:13" ht="14.25" customHeight="1" x14ac:dyDescent="0.35">
      <c r="K315" s="32" t="str">
        <f>IFERROR(VLOOKUP(G315,'Taxonomy Sheet'!$A$3:$C$6,2,FALSE),"")</f>
        <v/>
      </c>
      <c r="L315" s="32" t="str">
        <f>IFERROR(VLOOKUP(F315,'Taxonomy Sheet'!$E$3:$F$5,2,FALSE),"")</f>
        <v/>
      </c>
      <c r="M315" s="32" t="str">
        <f t="shared" si="4"/>
        <v/>
      </c>
    </row>
    <row r="316" spans="11:13" ht="14.25" customHeight="1" x14ac:dyDescent="0.35">
      <c r="K316" s="32" t="str">
        <f>IFERROR(VLOOKUP(G316,'Taxonomy Sheet'!$A$3:$C$6,2,FALSE),"")</f>
        <v/>
      </c>
      <c r="L316" s="32" t="str">
        <f>IFERROR(VLOOKUP(F316,'Taxonomy Sheet'!$E$3:$F$5,2,FALSE),"")</f>
        <v/>
      </c>
      <c r="M316" s="32" t="str">
        <f t="shared" si="4"/>
        <v/>
      </c>
    </row>
    <row r="317" spans="11:13" ht="14.25" customHeight="1" x14ac:dyDescent="0.35">
      <c r="K317" s="32" t="str">
        <f>IFERROR(VLOOKUP(G317,'Taxonomy Sheet'!$A$3:$C$6,2,FALSE),"")</f>
        <v/>
      </c>
      <c r="L317" s="32" t="str">
        <f>IFERROR(VLOOKUP(F317,'Taxonomy Sheet'!$E$3:$F$5,2,FALSE),"")</f>
        <v/>
      </c>
      <c r="M317" s="32" t="str">
        <f t="shared" si="4"/>
        <v/>
      </c>
    </row>
    <row r="318" spans="11:13" ht="14.25" customHeight="1" x14ac:dyDescent="0.35">
      <c r="K318" s="32" t="str">
        <f>IFERROR(VLOOKUP(G318,'Taxonomy Sheet'!$A$3:$C$6,2,FALSE),"")</f>
        <v/>
      </c>
      <c r="L318" s="32" t="str">
        <f>IFERROR(VLOOKUP(F318,'Taxonomy Sheet'!$E$3:$F$5,2,FALSE),"")</f>
        <v/>
      </c>
      <c r="M318" s="32" t="str">
        <f t="shared" si="4"/>
        <v/>
      </c>
    </row>
    <row r="319" spans="11:13" ht="14.25" customHeight="1" x14ac:dyDescent="0.35">
      <c r="K319" s="32" t="str">
        <f>IFERROR(VLOOKUP(G319,'Taxonomy Sheet'!$A$3:$C$6,2,FALSE),"")</f>
        <v/>
      </c>
      <c r="L319" s="32" t="str">
        <f>IFERROR(VLOOKUP(F319,'Taxonomy Sheet'!$E$3:$F$5,2,FALSE),"")</f>
        <v/>
      </c>
      <c r="M319" s="32" t="str">
        <f t="shared" si="4"/>
        <v/>
      </c>
    </row>
    <row r="320" spans="11:13" ht="14.25" customHeight="1" x14ac:dyDescent="0.35">
      <c r="K320" s="32" t="str">
        <f>IFERROR(VLOOKUP(G320,'Taxonomy Sheet'!$A$3:$C$6,2,FALSE),"")</f>
        <v/>
      </c>
      <c r="L320" s="32" t="str">
        <f>IFERROR(VLOOKUP(F320,'Taxonomy Sheet'!$E$3:$F$5,2,FALSE),"")</f>
        <v/>
      </c>
      <c r="M320" s="32" t="str">
        <f t="shared" si="4"/>
        <v/>
      </c>
    </row>
    <row r="321" spans="11:13" ht="14.25" customHeight="1" x14ac:dyDescent="0.35">
      <c r="K321" s="32" t="str">
        <f>IFERROR(VLOOKUP(G321,'Taxonomy Sheet'!$A$3:$C$6,2,FALSE),"")</f>
        <v/>
      </c>
      <c r="L321" s="32" t="str">
        <f>IFERROR(VLOOKUP(F321,'Taxonomy Sheet'!$E$3:$F$5,2,FALSE),"")</f>
        <v/>
      </c>
      <c r="M321" s="32" t="str">
        <f t="shared" si="4"/>
        <v/>
      </c>
    </row>
    <row r="322" spans="11:13" ht="14.25" customHeight="1" x14ac:dyDescent="0.35">
      <c r="K322" s="32" t="str">
        <f>IFERROR(VLOOKUP(G322,'Taxonomy Sheet'!$A$3:$C$6,2,FALSE),"")</f>
        <v/>
      </c>
      <c r="L322" s="32" t="str">
        <f>IFERROR(VLOOKUP(F322,'Taxonomy Sheet'!$E$3:$F$5,2,FALSE),"")</f>
        <v/>
      </c>
      <c r="M322" s="32" t="str">
        <f t="shared" si="4"/>
        <v/>
      </c>
    </row>
    <row r="323" spans="11:13" ht="14.25" customHeight="1" x14ac:dyDescent="0.35">
      <c r="K323" s="32" t="str">
        <f>IFERROR(VLOOKUP(G323,'Taxonomy Sheet'!$A$3:$C$6,2,FALSE),"")</f>
        <v/>
      </c>
      <c r="L323" s="32" t="str">
        <f>IFERROR(VLOOKUP(F323,'Taxonomy Sheet'!$E$3:$F$5,2,FALSE),"")</f>
        <v/>
      </c>
      <c r="M323" s="32" t="str">
        <f t="shared" si="4"/>
        <v/>
      </c>
    </row>
    <row r="324" spans="11:13" ht="14.25" customHeight="1" x14ac:dyDescent="0.35">
      <c r="K324" s="32" t="str">
        <f>IFERROR(VLOOKUP(G324,'Taxonomy Sheet'!$A$3:$C$6,2,FALSE),"")</f>
        <v/>
      </c>
      <c r="L324" s="32" t="str">
        <f>IFERROR(VLOOKUP(F324,'Taxonomy Sheet'!$E$3:$F$5,2,FALSE),"")</f>
        <v/>
      </c>
      <c r="M324" s="32" t="str">
        <f t="shared" si="4"/>
        <v/>
      </c>
    </row>
    <row r="325" spans="11:13" ht="14.25" customHeight="1" x14ac:dyDescent="0.35">
      <c r="K325" s="32" t="str">
        <f>IFERROR(VLOOKUP(G325,'Taxonomy Sheet'!$A$3:$C$6,2,FALSE),"")</f>
        <v/>
      </c>
      <c r="L325" s="32" t="str">
        <f>IFERROR(VLOOKUP(F325,'Taxonomy Sheet'!$E$3:$F$5,2,FALSE),"")</f>
        <v/>
      </c>
      <c r="M325" s="32" t="str">
        <f t="shared" si="4"/>
        <v/>
      </c>
    </row>
    <row r="326" spans="11:13" ht="14.25" customHeight="1" x14ac:dyDescent="0.35">
      <c r="K326" s="32" t="str">
        <f>IFERROR(VLOOKUP(G326,'Taxonomy Sheet'!$A$3:$C$6,2,FALSE),"")</f>
        <v/>
      </c>
      <c r="L326" s="32" t="str">
        <f>IFERROR(VLOOKUP(F326,'Taxonomy Sheet'!$E$3:$F$5,2,FALSE),"")</f>
        <v/>
      </c>
      <c r="M326" s="32" t="str">
        <f t="shared" si="4"/>
        <v/>
      </c>
    </row>
    <row r="327" spans="11:13" ht="14.25" customHeight="1" x14ac:dyDescent="0.35">
      <c r="K327" s="32" t="str">
        <f>IFERROR(VLOOKUP(G327,'Taxonomy Sheet'!$A$3:$C$6,2,FALSE),"")</f>
        <v/>
      </c>
      <c r="L327" s="32" t="str">
        <f>IFERROR(VLOOKUP(F327,'Taxonomy Sheet'!$E$3:$F$5,2,FALSE),"")</f>
        <v/>
      </c>
      <c r="M327" s="32" t="str">
        <f t="shared" si="4"/>
        <v/>
      </c>
    </row>
    <row r="328" spans="11:13" ht="14.25" customHeight="1" x14ac:dyDescent="0.35">
      <c r="K328" s="32" t="str">
        <f>IFERROR(VLOOKUP(G328,'Taxonomy Sheet'!$A$3:$C$6,2,FALSE),"")</f>
        <v/>
      </c>
      <c r="L328" s="32" t="str">
        <f>IFERROR(VLOOKUP(F328,'Taxonomy Sheet'!$E$3:$F$5,2,FALSE),"")</f>
        <v/>
      </c>
      <c r="M328" s="32" t="str">
        <f t="shared" si="4"/>
        <v/>
      </c>
    </row>
    <row r="329" spans="11:13" ht="14.25" customHeight="1" x14ac:dyDescent="0.35">
      <c r="K329" s="32" t="str">
        <f>IFERROR(VLOOKUP(G329,'Taxonomy Sheet'!$A$3:$C$6,2,FALSE),"")</f>
        <v/>
      </c>
      <c r="L329" s="32" t="str">
        <f>IFERROR(VLOOKUP(F329,'Taxonomy Sheet'!$E$3:$F$5,2,FALSE),"")</f>
        <v/>
      </c>
      <c r="M329" s="32" t="str">
        <f t="shared" si="4"/>
        <v/>
      </c>
    </row>
    <row r="330" spans="11:13" ht="14.25" customHeight="1" x14ac:dyDescent="0.35">
      <c r="K330" s="32" t="str">
        <f>IFERROR(VLOOKUP(G330,'Taxonomy Sheet'!$A$3:$C$6,2,FALSE),"")</f>
        <v/>
      </c>
      <c r="L330" s="32" t="str">
        <f>IFERROR(VLOOKUP(F330,'Taxonomy Sheet'!$E$3:$F$5,2,FALSE),"")</f>
        <v/>
      </c>
      <c r="M330" s="32" t="str">
        <f t="shared" si="4"/>
        <v/>
      </c>
    </row>
    <row r="331" spans="11:13" ht="14.25" customHeight="1" x14ac:dyDescent="0.35">
      <c r="K331" s="32" t="str">
        <f>IFERROR(VLOOKUP(G331,'Taxonomy Sheet'!$A$3:$C$6,2,FALSE),"")</f>
        <v/>
      </c>
      <c r="L331" s="32" t="str">
        <f>IFERROR(VLOOKUP(F331,'Taxonomy Sheet'!$E$3:$F$5,2,FALSE),"")</f>
        <v/>
      </c>
      <c r="M331" s="32" t="str">
        <f t="shared" si="4"/>
        <v/>
      </c>
    </row>
    <row r="332" spans="11:13" ht="14.25" customHeight="1" x14ac:dyDescent="0.35">
      <c r="K332" s="32" t="str">
        <f>IFERROR(VLOOKUP(G332,'Taxonomy Sheet'!$A$3:$C$6,2,FALSE),"")</f>
        <v/>
      </c>
      <c r="L332" s="32" t="str">
        <f>IFERROR(VLOOKUP(F332,'Taxonomy Sheet'!$E$3:$F$5,2,FALSE),"")</f>
        <v/>
      </c>
      <c r="M332" s="32" t="str">
        <f t="shared" si="4"/>
        <v/>
      </c>
    </row>
    <row r="333" spans="11:13" ht="14.25" customHeight="1" x14ac:dyDescent="0.35">
      <c r="K333" s="32" t="str">
        <f>IFERROR(VLOOKUP(G333,'Taxonomy Sheet'!$A$3:$C$6,2,FALSE),"")</f>
        <v/>
      </c>
      <c r="L333" s="32" t="str">
        <f>IFERROR(VLOOKUP(F333,'Taxonomy Sheet'!$E$3:$F$5,2,FALSE),"")</f>
        <v/>
      </c>
      <c r="M333" s="32" t="str">
        <f t="shared" ref="M333:M396" si="5">IF(OR(K333="",L333=""),"",K333*L333)</f>
        <v/>
      </c>
    </row>
    <row r="334" spans="11:13" ht="14.25" customHeight="1" x14ac:dyDescent="0.35">
      <c r="K334" s="32" t="str">
        <f>IFERROR(VLOOKUP(G334,'Taxonomy Sheet'!$A$3:$C$6,2,FALSE),"")</f>
        <v/>
      </c>
      <c r="L334" s="32" t="str">
        <f>IFERROR(VLOOKUP(F334,'Taxonomy Sheet'!$E$3:$F$5,2,FALSE),"")</f>
        <v/>
      </c>
      <c r="M334" s="32" t="str">
        <f t="shared" si="5"/>
        <v/>
      </c>
    </row>
    <row r="335" spans="11:13" ht="14.25" customHeight="1" x14ac:dyDescent="0.35">
      <c r="K335" s="32" t="str">
        <f>IFERROR(VLOOKUP(G335,'Taxonomy Sheet'!$A$3:$C$6,2,FALSE),"")</f>
        <v/>
      </c>
      <c r="L335" s="32" t="str">
        <f>IFERROR(VLOOKUP(F335,'Taxonomy Sheet'!$E$3:$F$5,2,FALSE),"")</f>
        <v/>
      </c>
      <c r="M335" s="32" t="str">
        <f t="shared" si="5"/>
        <v/>
      </c>
    </row>
    <row r="336" spans="11:13" ht="14.25" customHeight="1" x14ac:dyDescent="0.35">
      <c r="K336" s="32" t="str">
        <f>IFERROR(VLOOKUP(G336,'Taxonomy Sheet'!$A$3:$C$6,2,FALSE),"")</f>
        <v/>
      </c>
      <c r="L336" s="32" t="str">
        <f>IFERROR(VLOOKUP(F336,'Taxonomy Sheet'!$E$3:$F$5,2,FALSE),"")</f>
        <v/>
      </c>
      <c r="M336" s="32" t="str">
        <f t="shared" si="5"/>
        <v/>
      </c>
    </row>
    <row r="337" spans="11:13" ht="14.25" customHeight="1" x14ac:dyDescent="0.35">
      <c r="K337" s="32" t="str">
        <f>IFERROR(VLOOKUP(G337,'Taxonomy Sheet'!$A$3:$C$6,2,FALSE),"")</f>
        <v/>
      </c>
      <c r="L337" s="32" t="str">
        <f>IFERROR(VLOOKUP(F337,'Taxonomy Sheet'!$E$3:$F$5,2,FALSE),"")</f>
        <v/>
      </c>
      <c r="M337" s="32" t="str">
        <f t="shared" si="5"/>
        <v/>
      </c>
    </row>
    <row r="338" spans="11:13" ht="14.25" customHeight="1" x14ac:dyDescent="0.35">
      <c r="K338" s="32" t="str">
        <f>IFERROR(VLOOKUP(G338,'Taxonomy Sheet'!$A$3:$C$6,2,FALSE),"")</f>
        <v/>
      </c>
      <c r="L338" s="32" t="str">
        <f>IFERROR(VLOOKUP(F338,'Taxonomy Sheet'!$E$3:$F$5,2,FALSE),"")</f>
        <v/>
      </c>
      <c r="M338" s="32" t="str">
        <f t="shared" si="5"/>
        <v/>
      </c>
    </row>
    <row r="339" spans="11:13" ht="14.25" customHeight="1" x14ac:dyDescent="0.35">
      <c r="K339" s="32" t="str">
        <f>IFERROR(VLOOKUP(G339,'Taxonomy Sheet'!$A$3:$C$6,2,FALSE),"")</f>
        <v/>
      </c>
      <c r="L339" s="32" t="str">
        <f>IFERROR(VLOOKUP(F339,'Taxonomy Sheet'!$E$3:$F$5,2,FALSE),"")</f>
        <v/>
      </c>
      <c r="M339" s="32" t="str">
        <f t="shared" si="5"/>
        <v/>
      </c>
    </row>
    <row r="340" spans="11:13" ht="14.25" customHeight="1" x14ac:dyDescent="0.35">
      <c r="K340" s="32" t="str">
        <f>IFERROR(VLOOKUP(G340,'Taxonomy Sheet'!$A$3:$C$6,2,FALSE),"")</f>
        <v/>
      </c>
      <c r="L340" s="32" t="str">
        <f>IFERROR(VLOOKUP(F340,'Taxonomy Sheet'!$E$3:$F$5,2,FALSE),"")</f>
        <v/>
      </c>
      <c r="M340" s="32" t="str">
        <f t="shared" si="5"/>
        <v/>
      </c>
    </row>
    <row r="341" spans="11:13" ht="14.25" customHeight="1" x14ac:dyDescent="0.35">
      <c r="K341" s="32" t="str">
        <f>IFERROR(VLOOKUP(G341,'Taxonomy Sheet'!$A$3:$C$6,2,FALSE),"")</f>
        <v/>
      </c>
      <c r="L341" s="32" t="str">
        <f>IFERROR(VLOOKUP(F341,'Taxonomy Sheet'!$E$3:$F$5,2,FALSE),"")</f>
        <v/>
      </c>
      <c r="M341" s="32" t="str">
        <f t="shared" si="5"/>
        <v/>
      </c>
    </row>
    <row r="342" spans="11:13" ht="14.25" customHeight="1" x14ac:dyDescent="0.35">
      <c r="K342" s="32" t="str">
        <f>IFERROR(VLOOKUP(G342,'Taxonomy Sheet'!$A$3:$C$6,2,FALSE),"")</f>
        <v/>
      </c>
      <c r="L342" s="32" t="str">
        <f>IFERROR(VLOOKUP(F342,'Taxonomy Sheet'!$E$3:$F$5,2,FALSE),"")</f>
        <v/>
      </c>
      <c r="M342" s="32" t="str">
        <f t="shared" si="5"/>
        <v/>
      </c>
    </row>
    <row r="343" spans="11:13" ht="14.25" customHeight="1" x14ac:dyDescent="0.35">
      <c r="K343" s="32" t="str">
        <f>IFERROR(VLOOKUP(G343,'Taxonomy Sheet'!$A$3:$C$6,2,FALSE),"")</f>
        <v/>
      </c>
      <c r="L343" s="32" t="str">
        <f>IFERROR(VLOOKUP(F343,'Taxonomy Sheet'!$E$3:$F$5,2,FALSE),"")</f>
        <v/>
      </c>
      <c r="M343" s="32" t="str">
        <f t="shared" si="5"/>
        <v/>
      </c>
    </row>
    <row r="344" spans="11:13" ht="14.25" customHeight="1" x14ac:dyDescent="0.35">
      <c r="K344" s="32" t="str">
        <f>IFERROR(VLOOKUP(G344,'Taxonomy Sheet'!$A$3:$C$6,2,FALSE),"")</f>
        <v/>
      </c>
      <c r="L344" s="32" t="str">
        <f>IFERROR(VLOOKUP(F344,'Taxonomy Sheet'!$E$3:$F$5,2,FALSE),"")</f>
        <v/>
      </c>
      <c r="M344" s="32" t="str">
        <f t="shared" si="5"/>
        <v/>
      </c>
    </row>
    <row r="345" spans="11:13" ht="14.25" customHeight="1" x14ac:dyDescent="0.35">
      <c r="K345" s="32" t="str">
        <f>IFERROR(VLOOKUP(G345,'Taxonomy Sheet'!$A$3:$C$6,2,FALSE),"")</f>
        <v/>
      </c>
      <c r="L345" s="32" t="str">
        <f>IFERROR(VLOOKUP(F345,'Taxonomy Sheet'!$E$3:$F$5,2,FALSE),"")</f>
        <v/>
      </c>
      <c r="M345" s="32" t="str">
        <f t="shared" si="5"/>
        <v/>
      </c>
    </row>
    <row r="346" spans="11:13" ht="14.25" customHeight="1" x14ac:dyDescent="0.35">
      <c r="K346" s="32" t="str">
        <f>IFERROR(VLOOKUP(G346,'Taxonomy Sheet'!$A$3:$C$6,2,FALSE),"")</f>
        <v/>
      </c>
      <c r="L346" s="32" t="str">
        <f>IFERROR(VLOOKUP(F346,'Taxonomy Sheet'!$E$3:$F$5,2,FALSE),"")</f>
        <v/>
      </c>
      <c r="M346" s="32" t="str">
        <f t="shared" si="5"/>
        <v/>
      </c>
    </row>
    <row r="347" spans="11:13" ht="14.25" customHeight="1" x14ac:dyDescent="0.35">
      <c r="K347" s="32" t="str">
        <f>IFERROR(VLOOKUP(G347,'Taxonomy Sheet'!$A$3:$C$6,2,FALSE),"")</f>
        <v/>
      </c>
      <c r="L347" s="32" t="str">
        <f>IFERROR(VLOOKUP(F347,'Taxonomy Sheet'!$E$3:$F$5,2,FALSE),"")</f>
        <v/>
      </c>
      <c r="M347" s="32" t="str">
        <f t="shared" si="5"/>
        <v/>
      </c>
    </row>
    <row r="348" spans="11:13" ht="14.25" customHeight="1" x14ac:dyDescent="0.35">
      <c r="K348" s="32" t="str">
        <f>IFERROR(VLOOKUP(G348,'Taxonomy Sheet'!$A$3:$C$6,2,FALSE),"")</f>
        <v/>
      </c>
      <c r="L348" s="32" t="str">
        <f>IFERROR(VLOOKUP(F348,'Taxonomy Sheet'!$E$3:$F$5,2,FALSE),"")</f>
        <v/>
      </c>
      <c r="M348" s="32" t="str">
        <f t="shared" si="5"/>
        <v/>
      </c>
    </row>
    <row r="349" spans="11:13" ht="14.25" customHeight="1" x14ac:dyDescent="0.35">
      <c r="K349" s="32" t="str">
        <f>IFERROR(VLOOKUP(G349,'Taxonomy Sheet'!$A$3:$C$6,2,FALSE),"")</f>
        <v/>
      </c>
      <c r="L349" s="32" t="str">
        <f>IFERROR(VLOOKUP(F349,'Taxonomy Sheet'!$E$3:$F$5,2,FALSE),"")</f>
        <v/>
      </c>
      <c r="M349" s="32" t="str">
        <f t="shared" si="5"/>
        <v/>
      </c>
    </row>
    <row r="350" spans="11:13" ht="14.25" customHeight="1" x14ac:dyDescent="0.35">
      <c r="K350" s="32" t="str">
        <f>IFERROR(VLOOKUP(G350,'Taxonomy Sheet'!$A$3:$C$6,2,FALSE),"")</f>
        <v/>
      </c>
      <c r="L350" s="32" t="str">
        <f>IFERROR(VLOOKUP(F350,'Taxonomy Sheet'!$E$3:$F$5,2,FALSE),"")</f>
        <v/>
      </c>
      <c r="M350" s="32" t="str">
        <f t="shared" si="5"/>
        <v/>
      </c>
    </row>
    <row r="351" spans="11:13" ht="14.25" customHeight="1" x14ac:dyDescent="0.35">
      <c r="K351" s="32" t="str">
        <f>IFERROR(VLOOKUP(G351,'Taxonomy Sheet'!$A$3:$C$6,2,FALSE),"")</f>
        <v/>
      </c>
      <c r="L351" s="32" t="str">
        <f>IFERROR(VLOOKUP(F351,'Taxonomy Sheet'!$E$3:$F$5,2,FALSE),"")</f>
        <v/>
      </c>
      <c r="M351" s="32" t="str">
        <f t="shared" si="5"/>
        <v/>
      </c>
    </row>
    <row r="352" spans="11:13" ht="14.25" customHeight="1" x14ac:dyDescent="0.35">
      <c r="K352" s="32" t="str">
        <f>IFERROR(VLOOKUP(G352,'Taxonomy Sheet'!$A$3:$C$6,2,FALSE),"")</f>
        <v/>
      </c>
      <c r="L352" s="32" t="str">
        <f>IFERROR(VLOOKUP(F352,'Taxonomy Sheet'!$E$3:$F$5,2,FALSE),"")</f>
        <v/>
      </c>
      <c r="M352" s="32" t="str">
        <f t="shared" si="5"/>
        <v/>
      </c>
    </row>
    <row r="353" spans="11:13" ht="14.25" customHeight="1" x14ac:dyDescent="0.35">
      <c r="K353" s="32" t="str">
        <f>IFERROR(VLOOKUP(G353,'Taxonomy Sheet'!$A$3:$C$6,2,FALSE),"")</f>
        <v/>
      </c>
      <c r="L353" s="32" t="str">
        <f>IFERROR(VLOOKUP(F353,'Taxonomy Sheet'!$E$3:$F$5,2,FALSE),"")</f>
        <v/>
      </c>
      <c r="M353" s="32" t="str">
        <f t="shared" si="5"/>
        <v/>
      </c>
    </row>
    <row r="354" spans="11:13" ht="14.25" customHeight="1" x14ac:dyDescent="0.35">
      <c r="K354" s="32" t="str">
        <f>IFERROR(VLOOKUP(G354,'Taxonomy Sheet'!$A$3:$C$6,2,FALSE),"")</f>
        <v/>
      </c>
      <c r="L354" s="32" t="str">
        <f>IFERROR(VLOOKUP(F354,'Taxonomy Sheet'!$E$3:$F$5,2,FALSE),"")</f>
        <v/>
      </c>
      <c r="M354" s="32" t="str">
        <f t="shared" si="5"/>
        <v/>
      </c>
    </row>
    <row r="355" spans="11:13" ht="14.25" customHeight="1" x14ac:dyDescent="0.35">
      <c r="K355" s="32" t="str">
        <f>IFERROR(VLOOKUP(G355,'Taxonomy Sheet'!$A$3:$C$6,2,FALSE),"")</f>
        <v/>
      </c>
      <c r="L355" s="32" t="str">
        <f>IFERROR(VLOOKUP(F355,'Taxonomy Sheet'!$E$3:$F$5,2,FALSE),"")</f>
        <v/>
      </c>
      <c r="M355" s="32" t="str">
        <f t="shared" si="5"/>
        <v/>
      </c>
    </row>
    <row r="356" spans="11:13" ht="14.25" customHeight="1" x14ac:dyDescent="0.35">
      <c r="K356" s="32" t="str">
        <f>IFERROR(VLOOKUP(G356,'Taxonomy Sheet'!$A$3:$C$6,2,FALSE),"")</f>
        <v/>
      </c>
      <c r="L356" s="32" t="str">
        <f>IFERROR(VLOOKUP(F356,'Taxonomy Sheet'!$E$3:$F$5,2,FALSE),"")</f>
        <v/>
      </c>
      <c r="M356" s="32" t="str">
        <f t="shared" si="5"/>
        <v/>
      </c>
    </row>
    <row r="357" spans="11:13" ht="14.25" customHeight="1" x14ac:dyDescent="0.35">
      <c r="K357" s="32" t="str">
        <f>IFERROR(VLOOKUP(G357,'Taxonomy Sheet'!$A$3:$C$6,2,FALSE),"")</f>
        <v/>
      </c>
      <c r="L357" s="32" t="str">
        <f>IFERROR(VLOOKUP(F357,'Taxonomy Sheet'!$E$3:$F$5,2,FALSE),"")</f>
        <v/>
      </c>
      <c r="M357" s="32" t="str">
        <f t="shared" si="5"/>
        <v/>
      </c>
    </row>
    <row r="358" spans="11:13" ht="14.25" customHeight="1" x14ac:dyDescent="0.35">
      <c r="K358" s="32" t="str">
        <f>IFERROR(VLOOKUP(G358,'Taxonomy Sheet'!$A$3:$C$6,2,FALSE),"")</f>
        <v/>
      </c>
      <c r="L358" s="32" t="str">
        <f>IFERROR(VLOOKUP(F358,'Taxonomy Sheet'!$E$3:$F$5,2,FALSE),"")</f>
        <v/>
      </c>
      <c r="M358" s="32" t="str">
        <f t="shared" si="5"/>
        <v/>
      </c>
    </row>
    <row r="359" spans="11:13" ht="14.25" customHeight="1" x14ac:dyDescent="0.35">
      <c r="K359" s="32" t="str">
        <f>IFERROR(VLOOKUP(G359,'Taxonomy Sheet'!$A$3:$C$6,2,FALSE),"")</f>
        <v/>
      </c>
      <c r="L359" s="32" t="str">
        <f>IFERROR(VLOOKUP(F359,'Taxonomy Sheet'!$E$3:$F$5,2,FALSE),"")</f>
        <v/>
      </c>
      <c r="M359" s="32" t="str">
        <f t="shared" si="5"/>
        <v/>
      </c>
    </row>
    <row r="360" spans="11:13" ht="14.25" customHeight="1" x14ac:dyDescent="0.35">
      <c r="K360" s="32" t="str">
        <f>IFERROR(VLOOKUP(G360,'Taxonomy Sheet'!$A$3:$C$6,2,FALSE),"")</f>
        <v/>
      </c>
      <c r="L360" s="32" t="str">
        <f>IFERROR(VLOOKUP(F360,'Taxonomy Sheet'!$E$3:$F$5,2,FALSE),"")</f>
        <v/>
      </c>
      <c r="M360" s="32" t="str">
        <f t="shared" si="5"/>
        <v/>
      </c>
    </row>
    <row r="361" spans="11:13" ht="14.25" customHeight="1" x14ac:dyDescent="0.35">
      <c r="K361" s="32" t="str">
        <f>IFERROR(VLOOKUP(G361,'Taxonomy Sheet'!$A$3:$C$6,2,FALSE),"")</f>
        <v/>
      </c>
      <c r="L361" s="32" t="str">
        <f>IFERROR(VLOOKUP(F361,'Taxonomy Sheet'!$E$3:$F$5,2,FALSE),"")</f>
        <v/>
      </c>
      <c r="M361" s="32" t="str">
        <f t="shared" si="5"/>
        <v/>
      </c>
    </row>
    <row r="362" spans="11:13" ht="14.25" customHeight="1" x14ac:dyDescent="0.35">
      <c r="K362" s="32" t="str">
        <f>IFERROR(VLOOKUP(G362,'Taxonomy Sheet'!$A$3:$C$6,2,FALSE),"")</f>
        <v/>
      </c>
      <c r="L362" s="32" t="str">
        <f>IFERROR(VLOOKUP(F362,'Taxonomy Sheet'!$E$3:$F$5,2,FALSE),"")</f>
        <v/>
      </c>
      <c r="M362" s="32" t="str">
        <f t="shared" si="5"/>
        <v/>
      </c>
    </row>
    <row r="363" spans="11:13" ht="14.25" customHeight="1" x14ac:dyDescent="0.35">
      <c r="K363" s="32" t="str">
        <f>IFERROR(VLOOKUP(G363,'Taxonomy Sheet'!$A$3:$C$6,2,FALSE),"")</f>
        <v/>
      </c>
      <c r="L363" s="32" t="str">
        <f>IFERROR(VLOOKUP(F363,'Taxonomy Sheet'!$E$3:$F$5,2,FALSE),"")</f>
        <v/>
      </c>
      <c r="M363" s="32" t="str">
        <f t="shared" si="5"/>
        <v/>
      </c>
    </row>
    <row r="364" spans="11:13" ht="14.25" customHeight="1" x14ac:dyDescent="0.35">
      <c r="K364" s="32" t="str">
        <f>IFERROR(VLOOKUP(G364,'Taxonomy Sheet'!$A$3:$C$6,2,FALSE),"")</f>
        <v/>
      </c>
      <c r="L364" s="32" t="str">
        <f>IFERROR(VLOOKUP(F364,'Taxonomy Sheet'!$E$3:$F$5,2,FALSE),"")</f>
        <v/>
      </c>
      <c r="M364" s="32" t="str">
        <f t="shared" si="5"/>
        <v/>
      </c>
    </row>
    <row r="365" spans="11:13" ht="14.25" customHeight="1" x14ac:dyDescent="0.35">
      <c r="K365" s="32" t="str">
        <f>IFERROR(VLOOKUP(G365,'Taxonomy Sheet'!$A$3:$C$6,2,FALSE),"")</f>
        <v/>
      </c>
      <c r="L365" s="32" t="str">
        <f>IFERROR(VLOOKUP(F365,'Taxonomy Sheet'!$E$3:$F$5,2,FALSE),"")</f>
        <v/>
      </c>
      <c r="M365" s="32" t="str">
        <f t="shared" si="5"/>
        <v/>
      </c>
    </row>
    <row r="366" spans="11:13" ht="14.25" customHeight="1" x14ac:dyDescent="0.35">
      <c r="K366" s="32" t="str">
        <f>IFERROR(VLOOKUP(G366,'Taxonomy Sheet'!$A$3:$C$6,2,FALSE),"")</f>
        <v/>
      </c>
      <c r="L366" s="32" t="str">
        <f>IFERROR(VLOOKUP(F366,'Taxonomy Sheet'!$E$3:$F$5,2,FALSE),"")</f>
        <v/>
      </c>
      <c r="M366" s="32" t="str">
        <f t="shared" si="5"/>
        <v/>
      </c>
    </row>
    <row r="367" spans="11:13" ht="14.25" customHeight="1" x14ac:dyDescent="0.35">
      <c r="K367" s="32" t="str">
        <f>IFERROR(VLOOKUP(G367,'Taxonomy Sheet'!$A$3:$C$6,2,FALSE),"")</f>
        <v/>
      </c>
      <c r="L367" s="32" t="str">
        <f>IFERROR(VLOOKUP(F367,'Taxonomy Sheet'!$E$3:$F$5,2,FALSE),"")</f>
        <v/>
      </c>
      <c r="M367" s="32" t="str">
        <f t="shared" si="5"/>
        <v/>
      </c>
    </row>
    <row r="368" spans="11:13" ht="14.25" customHeight="1" x14ac:dyDescent="0.35">
      <c r="K368" s="32" t="str">
        <f>IFERROR(VLOOKUP(G368,'Taxonomy Sheet'!$A$3:$C$6,2,FALSE),"")</f>
        <v/>
      </c>
      <c r="L368" s="32" t="str">
        <f>IFERROR(VLOOKUP(F368,'Taxonomy Sheet'!$E$3:$F$5,2,FALSE),"")</f>
        <v/>
      </c>
      <c r="M368" s="32" t="str">
        <f t="shared" si="5"/>
        <v/>
      </c>
    </row>
    <row r="369" spans="11:13" ht="14.25" customHeight="1" x14ac:dyDescent="0.35">
      <c r="K369" s="32" t="str">
        <f>IFERROR(VLOOKUP(G369,'Taxonomy Sheet'!$A$3:$C$6,2,FALSE),"")</f>
        <v/>
      </c>
      <c r="L369" s="32" t="str">
        <f>IFERROR(VLOOKUP(F369,'Taxonomy Sheet'!$E$3:$F$5,2,FALSE),"")</f>
        <v/>
      </c>
      <c r="M369" s="32" t="str">
        <f t="shared" si="5"/>
        <v/>
      </c>
    </row>
    <row r="370" spans="11:13" ht="14.25" customHeight="1" x14ac:dyDescent="0.35">
      <c r="K370" s="32" t="str">
        <f>IFERROR(VLOOKUP(G370,'Taxonomy Sheet'!$A$3:$C$6,2,FALSE),"")</f>
        <v/>
      </c>
      <c r="L370" s="32" t="str">
        <f>IFERROR(VLOOKUP(F370,'Taxonomy Sheet'!$E$3:$F$5,2,FALSE),"")</f>
        <v/>
      </c>
      <c r="M370" s="32" t="str">
        <f t="shared" si="5"/>
        <v/>
      </c>
    </row>
    <row r="371" spans="11:13" ht="14.25" customHeight="1" x14ac:dyDescent="0.35">
      <c r="K371" s="32" t="str">
        <f>IFERROR(VLOOKUP(G371,'Taxonomy Sheet'!$A$3:$C$6,2,FALSE),"")</f>
        <v/>
      </c>
      <c r="L371" s="32" t="str">
        <f>IFERROR(VLOOKUP(F371,'Taxonomy Sheet'!$E$3:$F$5,2,FALSE),"")</f>
        <v/>
      </c>
      <c r="M371" s="32" t="str">
        <f t="shared" si="5"/>
        <v/>
      </c>
    </row>
    <row r="372" spans="11:13" ht="14.25" customHeight="1" x14ac:dyDescent="0.35">
      <c r="K372" s="32" t="str">
        <f>IFERROR(VLOOKUP(G372,'Taxonomy Sheet'!$A$3:$C$6,2,FALSE),"")</f>
        <v/>
      </c>
      <c r="L372" s="32" t="str">
        <f>IFERROR(VLOOKUP(F372,'Taxonomy Sheet'!$E$3:$F$5,2,FALSE),"")</f>
        <v/>
      </c>
      <c r="M372" s="32" t="str">
        <f t="shared" si="5"/>
        <v/>
      </c>
    </row>
    <row r="373" spans="11:13" ht="14.25" customHeight="1" x14ac:dyDescent="0.35">
      <c r="K373" s="32" t="str">
        <f>IFERROR(VLOOKUP(G373,'Taxonomy Sheet'!$A$3:$C$6,2,FALSE),"")</f>
        <v/>
      </c>
      <c r="L373" s="32" t="str">
        <f>IFERROR(VLOOKUP(F373,'Taxonomy Sheet'!$E$3:$F$5,2,FALSE),"")</f>
        <v/>
      </c>
      <c r="M373" s="32" t="str">
        <f t="shared" si="5"/>
        <v/>
      </c>
    </row>
    <row r="374" spans="11:13" ht="14.25" customHeight="1" x14ac:dyDescent="0.35">
      <c r="K374" s="32" t="str">
        <f>IFERROR(VLOOKUP(G374,'Taxonomy Sheet'!$A$3:$C$6,2,FALSE),"")</f>
        <v/>
      </c>
      <c r="L374" s="32" t="str">
        <f>IFERROR(VLOOKUP(F374,'Taxonomy Sheet'!$E$3:$F$5,2,FALSE),"")</f>
        <v/>
      </c>
      <c r="M374" s="32" t="str">
        <f t="shared" si="5"/>
        <v/>
      </c>
    </row>
    <row r="375" spans="11:13" ht="14.25" customHeight="1" x14ac:dyDescent="0.35">
      <c r="K375" s="32" t="str">
        <f>IFERROR(VLOOKUP(G375,'Taxonomy Sheet'!$A$3:$C$6,2,FALSE),"")</f>
        <v/>
      </c>
      <c r="L375" s="32" t="str">
        <f>IFERROR(VLOOKUP(F375,'Taxonomy Sheet'!$E$3:$F$5,2,FALSE),"")</f>
        <v/>
      </c>
      <c r="M375" s="32" t="str">
        <f t="shared" si="5"/>
        <v/>
      </c>
    </row>
    <row r="376" spans="11:13" ht="14.25" customHeight="1" x14ac:dyDescent="0.35">
      <c r="K376" s="32" t="str">
        <f>IFERROR(VLOOKUP(G376,'Taxonomy Sheet'!$A$3:$C$6,2,FALSE),"")</f>
        <v/>
      </c>
      <c r="L376" s="32" t="str">
        <f>IFERROR(VLOOKUP(F376,'Taxonomy Sheet'!$E$3:$F$5,2,FALSE),"")</f>
        <v/>
      </c>
      <c r="M376" s="32" t="str">
        <f t="shared" si="5"/>
        <v/>
      </c>
    </row>
    <row r="377" spans="11:13" ht="14.25" customHeight="1" x14ac:dyDescent="0.35">
      <c r="K377" s="32" t="str">
        <f>IFERROR(VLOOKUP(G377,'Taxonomy Sheet'!$A$3:$C$6,2,FALSE),"")</f>
        <v/>
      </c>
      <c r="L377" s="32" t="str">
        <f>IFERROR(VLOOKUP(F377,'Taxonomy Sheet'!$E$3:$F$5,2,FALSE),"")</f>
        <v/>
      </c>
      <c r="M377" s="32" t="str">
        <f t="shared" si="5"/>
        <v/>
      </c>
    </row>
    <row r="378" spans="11:13" ht="14.25" customHeight="1" x14ac:dyDescent="0.35">
      <c r="K378" s="32" t="str">
        <f>IFERROR(VLOOKUP(G378,'Taxonomy Sheet'!$A$3:$C$6,2,FALSE),"")</f>
        <v/>
      </c>
      <c r="L378" s="32" t="str">
        <f>IFERROR(VLOOKUP(F378,'Taxonomy Sheet'!$E$3:$F$5,2,FALSE),"")</f>
        <v/>
      </c>
      <c r="M378" s="32" t="str">
        <f t="shared" si="5"/>
        <v/>
      </c>
    </row>
    <row r="379" spans="11:13" ht="14.25" customHeight="1" x14ac:dyDescent="0.35">
      <c r="K379" s="32" t="str">
        <f>IFERROR(VLOOKUP(G379,'Taxonomy Sheet'!$A$3:$C$6,2,FALSE),"")</f>
        <v/>
      </c>
      <c r="L379" s="32" t="str">
        <f>IFERROR(VLOOKUP(F379,'Taxonomy Sheet'!$E$3:$F$5,2,FALSE),"")</f>
        <v/>
      </c>
      <c r="M379" s="32" t="str">
        <f t="shared" si="5"/>
        <v/>
      </c>
    </row>
    <row r="380" spans="11:13" ht="14.25" customHeight="1" x14ac:dyDescent="0.35">
      <c r="K380" s="32" t="str">
        <f>IFERROR(VLOOKUP(G380,'Taxonomy Sheet'!$A$3:$C$6,2,FALSE),"")</f>
        <v/>
      </c>
      <c r="L380" s="32" t="str">
        <f>IFERROR(VLOOKUP(F380,'Taxonomy Sheet'!$E$3:$F$5,2,FALSE),"")</f>
        <v/>
      </c>
      <c r="M380" s="32" t="str">
        <f t="shared" si="5"/>
        <v/>
      </c>
    </row>
    <row r="381" spans="11:13" ht="14.25" customHeight="1" x14ac:dyDescent="0.35">
      <c r="K381" s="32" t="str">
        <f>IFERROR(VLOOKUP(G381,'Taxonomy Sheet'!$A$3:$C$6,2,FALSE),"")</f>
        <v/>
      </c>
      <c r="L381" s="32" t="str">
        <f>IFERROR(VLOOKUP(F381,'Taxonomy Sheet'!$E$3:$F$5,2,FALSE),"")</f>
        <v/>
      </c>
      <c r="M381" s="32" t="str">
        <f t="shared" si="5"/>
        <v/>
      </c>
    </row>
    <row r="382" spans="11:13" ht="14.25" customHeight="1" x14ac:dyDescent="0.35">
      <c r="K382" s="32" t="str">
        <f>IFERROR(VLOOKUP(G382,'Taxonomy Sheet'!$A$3:$C$6,2,FALSE),"")</f>
        <v/>
      </c>
      <c r="L382" s="32" t="str">
        <f>IFERROR(VLOOKUP(F382,'Taxonomy Sheet'!$E$3:$F$5,2,FALSE),"")</f>
        <v/>
      </c>
      <c r="M382" s="32" t="str">
        <f t="shared" si="5"/>
        <v/>
      </c>
    </row>
    <row r="383" spans="11:13" ht="14.25" customHeight="1" x14ac:dyDescent="0.35">
      <c r="K383" s="32" t="str">
        <f>IFERROR(VLOOKUP(G383,'Taxonomy Sheet'!$A$3:$C$6,2,FALSE),"")</f>
        <v/>
      </c>
      <c r="L383" s="32" t="str">
        <f>IFERROR(VLOOKUP(F383,'Taxonomy Sheet'!$E$3:$F$5,2,FALSE),"")</f>
        <v/>
      </c>
      <c r="M383" s="32" t="str">
        <f t="shared" si="5"/>
        <v/>
      </c>
    </row>
    <row r="384" spans="11:13" ht="14.25" customHeight="1" x14ac:dyDescent="0.35">
      <c r="K384" s="32" t="str">
        <f>IFERROR(VLOOKUP(G384,'Taxonomy Sheet'!$A$3:$C$6,2,FALSE),"")</f>
        <v/>
      </c>
      <c r="L384" s="32" t="str">
        <f>IFERROR(VLOOKUP(F384,'Taxonomy Sheet'!$E$3:$F$5,2,FALSE),"")</f>
        <v/>
      </c>
      <c r="M384" s="32" t="str">
        <f t="shared" si="5"/>
        <v/>
      </c>
    </row>
    <row r="385" spans="11:13" ht="14.25" customHeight="1" x14ac:dyDescent="0.35">
      <c r="K385" s="32" t="str">
        <f>IFERROR(VLOOKUP(G385,'Taxonomy Sheet'!$A$3:$C$6,2,FALSE),"")</f>
        <v/>
      </c>
      <c r="L385" s="32" t="str">
        <f>IFERROR(VLOOKUP(F385,'Taxonomy Sheet'!$E$3:$F$5,2,FALSE),"")</f>
        <v/>
      </c>
      <c r="M385" s="32" t="str">
        <f t="shared" si="5"/>
        <v/>
      </c>
    </row>
    <row r="386" spans="11:13" ht="14.25" customHeight="1" x14ac:dyDescent="0.35">
      <c r="K386" s="32" t="str">
        <f>IFERROR(VLOOKUP(G386,'Taxonomy Sheet'!$A$3:$C$6,2,FALSE),"")</f>
        <v/>
      </c>
      <c r="L386" s="32" t="str">
        <f>IFERROR(VLOOKUP(F386,'Taxonomy Sheet'!$E$3:$F$5,2,FALSE),"")</f>
        <v/>
      </c>
      <c r="M386" s="32" t="str">
        <f t="shared" si="5"/>
        <v/>
      </c>
    </row>
    <row r="387" spans="11:13" ht="14.25" customHeight="1" x14ac:dyDescent="0.35">
      <c r="K387" s="32" t="str">
        <f>IFERROR(VLOOKUP(G387,'Taxonomy Sheet'!$A$3:$C$6,2,FALSE),"")</f>
        <v/>
      </c>
      <c r="L387" s="32" t="str">
        <f>IFERROR(VLOOKUP(F387,'Taxonomy Sheet'!$E$3:$F$5,2,FALSE),"")</f>
        <v/>
      </c>
      <c r="M387" s="32" t="str">
        <f t="shared" si="5"/>
        <v/>
      </c>
    </row>
    <row r="388" spans="11:13" ht="14.25" customHeight="1" x14ac:dyDescent="0.35">
      <c r="K388" s="32" t="str">
        <f>IFERROR(VLOOKUP(G388,'Taxonomy Sheet'!$A$3:$C$6,2,FALSE),"")</f>
        <v/>
      </c>
      <c r="L388" s="32" t="str">
        <f>IFERROR(VLOOKUP(F388,'Taxonomy Sheet'!$E$3:$F$5,2,FALSE),"")</f>
        <v/>
      </c>
      <c r="M388" s="32" t="str">
        <f t="shared" si="5"/>
        <v/>
      </c>
    </row>
    <row r="389" spans="11:13" ht="14.25" customHeight="1" x14ac:dyDescent="0.35">
      <c r="K389" s="32" t="str">
        <f>IFERROR(VLOOKUP(G389,'Taxonomy Sheet'!$A$3:$C$6,2,FALSE),"")</f>
        <v/>
      </c>
      <c r="L389" s="32" t="str">
        <f>IFERROR(VLOOKUP(F389,'Taxonomy Sheet'!$E$3:$F$5,2,FALSE),"")</f>
        <v/>
      </c>
      <c r="M389" s="32" t="str">
        <f t="shared" si="5"/>
        <v/>
      </c>
    </row>
    <row r="390" spans="11:13" ht="14.25" customHeight="1" x14ac:dyDescent="0.35">
      <c r="K390" s="32" t="str">
        <f>IFERROR(VLOOKUP(G390,'Taxonomy Sheet'!$A$3:$C$6,2,FALSE),"")</f>
        <v/>
      </c>
      <c r="L390" s="32" t="str">
        <f>IFERROR(VLOOKUP(F390,'Taxonomy Sheet'!$E$3:$F$5,2,FALSE),"")</f>
        <v/>
      </c>
      <c r="M390" s="32" t="str">
        <f t="shared" si="5"/>
        <v/>
      </c>
    </row>
    <row r="391" spans="11:13" ht="14.25" customHeight="1" x14ac:dyDescent="0.35">
      <c r="K391" s="32" t="str">
        <f>IFERROR(VLOOKUP(G391,'Taxonomy Sheet'!$A$3:$C$6,2,FALSE),"")</f>
        <v/>
      </c>
      <c r="L391" s="32" t="str">
        <f>IFERROR(VLOOKUP(F391,'Taxonomy Sheet'!$E$3:$F$5,2,FALSE),"")</f>
        <v/>
      </c>
      <c r="M391" s="32" t="str">
        <f t="shared" si="5"/>
        <v/>
      </c>
    </row>
    <row r="392" spans="11:13" ht="14.25" customHeight="1" x14ac:dyDescent="0.35">
      <c r="K392" s="32" t="str">
        <f>IFERROR(VLOOKUP(G392,'Taxonomy Sheet'!$A$3:$C$6,2,FALSE),"")</f>
        <v/>
      </c>
      <c r="L392" s="32" t="str">
        <f>IFERROR(VLOOKUP(F392,'Taxonomy Sheet'!$E$3:$F$5,2,FALSE),"")</f>
        <v/>
      </c>
      <c r="M392" s="32" t="str">
        <f t="shared" si="5"/>
        <v/>
      </c>
    </row>
    <row r="393" spans="11:13" ht="14.25" customHeight="1" x14ac:dyDescent="0.35">
      <c r="K393" s="32" t="str">
        <f>IFERROR(VLOOKUP(G393,'Taxonomy Sheet'!$A$3:$C$6,2,FALSE),"")</f>
        <v/>
      </c>
      <c r="L393" s="32" t="str">
        <f>IFERROR(VLOOKUP(F393,'Taxonomy Sheet'!$E$3:$F$5,2,FALSE),"")</f>
        <v/>
      </c>
      <c r="M393" s="32" t="str">
        <f t="shared" si="5"/>
        <v/>
      </c>
    </row>
    <row r="394" spans="11:13" ht="14.25" customHeight="1" x14ac:dyDescent="0.35">
      <c r="K394" s="32" t="str">
        <f>IFERROR(VLOOKUP(G394,'Taxonomy Sheet'!$A$3:$C$6,2,FALSE),"")</f>
        <v/>
      </c>
      <c r="L394" s="32" t="str">
        <f>IFERROR(VLOOKUP(F394,'Taxonomy Sheet'!$E$3:$F$5,2,FALSE),"")</f>
        <v/>
      </c>
      <c r="M394" s="32" t="str">
        <f t="shared" si="5"/>
        <v/>
      </c>
    </row>
    <row r="395" spans="11:13" ht="14.25" customHeight="1" x14ac:dyDescent="0.35">
      <c r="K395" s="32" t="str">
        <f>IFERROR(VLOOKUP(G395,'Taxonomy Sheet'!$A$3:$C$6,2,FALSE),"")</f>
        <v/>
      </c>
      <c r="L395" s="32" t="str">
        <f>IFERROR(VLOOKUP(F395,'Taxonomy Sheet'!$E$3:$F$5,2,FALSE),"")</f>
        <v/>
      </c>
      <c r="M395" s="32" t="str">
        <f t="shared" si="5"/>
        <v/>
      </c>
    </row>
    <row r="396" spans="11:13" ht="14.25" customHeight="1" x14ac:dyDescent="0.35">
      <c r="K396" s="32" t="str">
        <f>IFERROR(VLOOKUP(G396,'Taxonomy Sheet'!$A$3:$C$6,2,FALSE),"")</f>
        <v/>
      </c>
      <c r="L396" s="32" t="str">
        <f>IFERROR(VLOOKUP(F396,'Taxonomy Sheet'!$E$3:$F$5,2,FALSE),"")</f>
        <v/>
      </c>
      <c r="M396" s="32" t="str">
        <f t="shared" si="5"/>
        <v/>
      </c>
    </row>
    <row r="397" spans="11:13" ht="14.25" customHeight="1" x14ac:dyDescent="0.35">
      <c r="K397" s="32" t="str">
        <f>IFERROR(VLOOKUP(G397,'Taxonomy Sheet'!$A$3:$C$6,2,FALSE),"")</f>
        <v/>
      </c>
      <c r="L397" s="32" t="str">
        <f>IFERROR(VLOOKUP(F397,'Taxonomy Sheet'!$E$3:$F$5,2,FALSE),"")</f>
        <v/>
      </c>
      <c r="M397" s="32" t="str">
        <f t="shared" ref="M397:M460" si="6">IF(OR(K397="",L397=""),"",K397*L397)</f>
        <v/>
      </c>
    </row>
    <row r="398" spans="11:13" ht="14.25" customHeight="1" x14ac:dyDescent="0.35">
      <c r="K398" s="32" t="str">
        <f>IFERROR(VLOOKUP(G398,'Taxonomy Sheet'!$A$3:$C$6,2,FALSE),"")</f>
        <v/>
      </c>
      <c r="L398" s="32" t="str">
        <f>IFERROR(VLOOKUP(F398,'Taxonomy Sheet'!$E$3:$F$5,2,FALSE),"")</f>
        <v/>
      </c>
      <c r="M398" s="32" t="str">
        <f t="shared" si="6"/>
        <v/>
      </c>
    </row>
    <row r="399" spans="11:13" ht="14.25" customHeight="1" x14ac:dyDescent="0.35">
      <c r="K399" s="32" t="str">
        <f>IFERROR(VLOOKUP(G399,'Taxonomy Sheet'!$A$3:$C$6,2,FALSE),"")</f>
        <v/>
      </c>
      <c r="L399" s="32" t="str">
        <f>IFERROR(VLOOKUP(F399,'Taxonomy Sheet'!$E$3:$F$5,2,FALSE),"")</f>
        <v/>
      </c>
      <c r="M399" s="32" t="str">
        <f t="shared" si="6"/>
        <v/>
      </c>
    </row>
    <row r="400" spans="11:13" ht="14.25" customHeight="1" x14ac:dyDescent="0.35">
      <c r="K400" s="32" t="str">
        <f>IFERROR(VLOOKUP(G400,'Taxonomy Sheet'!$A$3:$C$6,2,FALSE),"")</f>
        <v/>
      </c>
      <c r="L400" s="32" t="str">
        <f>IFERROR(VLOOKUP(F400,'Taxonomy Sheet'!$E$3:$F$5,2,FALSE),"")</f>
        <v/>
      </c>
      <c r="M400" s="32" t="str">
        <f t="shared" si="6"/>
        <v/>
      </c>
    </row>
    <row r="401" spans="11:13" ht="14.25" customHeight="1" x14ac:dyDescent="0.35">
      <c r="K401" s="32" t="str">
        <f>IFERROR(VLOOKUP(G401,'Taxonomy Sheet'!$A$3:$C$6,2,FALSE),"")</f>
        <v/>
      </c>
      <c r="L401" s="32" t="str">
        <f>IFERROR(VLOOKUP(F401,'Taxonomy Sheet'!$E$3:$F$5,2,FALSE),"")</f>
        <v/>
      </c>
      <c r="M401" s="32" t="str">
        <f t="shared" si="6"/>
        <v/>
      </c>
    </row>
    <row r="402" spans="11:13" ht="14.25" customHeight="1" x14ac:dyDescent="0.35">
      <c r="K402" s="32" t="str">
        <f>IFERROR(VLOOKUP(G402,'Taxonomy Sheet'!$A$3:$C$6,2,FALSE),"")</f>
        <v/>
      </c>
      <c r="L402" s="32" t="str">
        <f>IFERROR(VLOOKUP(F402,'Taxonomy Sheet'!$E$3:$F$5,2,FALSE),"")</f>
        <v/>
      </c>
      <c r="M402" s="32" t="str">
        <f t="shared" si="6"/>
        <v/>
      </c>
    </row>
    <row r="403" spans="11:13" ht="14.25" customHeight="1" x14ac:dyDescent="0.35">
      <c r="K403" s="32" t="str">
        <f>IFERROR(VLOOKUP(G403,'Taxonomy Sheet'!$A$3:$C$6,2,FALSE),"")</f>
        <v/>
      </c>
      <c r="L403" s="32" t="str">
        <f>IFERROR(VLOOKUP(F403,'Taxonomy Sheet'!$E$3:$F$5,2,FALSE),"")</f>
        <v/>
      </c>
      <c r="M403" s="32" t="str">
        <f t="shared" si="6"/>
        <v/>
      </c>
    </row>
    <row r="404" spans="11:13" ht="14.25" customHeight="1" x14ac:dyDescent="0.35">
      <c r="K404" s="32" t="str">
        <f>IFERROR(VLOOKUP(G404,'Taxonomy Sheet'!$A$3:$C$6,2,FALSE),"")</f>
        <v/>
      </c>
      <c r="L404" s="32" t="str">
        <f>IFERROR(VLOOKUP(F404,'Taxonomy Sheet'!$E$3:$F$5,2,FALSE),"")</f>
        <v/>
      </c>
      <c r="M404" s="32" t="str">
        <f t="shared" si="6"/>
        <v/>
      </c>
    </row>
    <row r="405" spans="11:13" ht="14.25" customHeight="1" x14ac:dyDescent="0.35">
      <c r="K405" s="32" t="str">
        <f>IFERROR(VLOOKUP(G405,'Taxonomy Sheet'!$A$3:$C$6,2,FALSE),"")</f>
        <v/>
      </c>
      <c r="L405" s="32" t="str">
        <f>IFERROR(VLOOKUP(F405,'Taxonomy Sheet'!$E$3:$F$5,2,FALSE),"")</f>
        <v/>
      </c>
      <c r="M405" s="32" t="str">
        <f t="shared" si="6"/>
        <v/>
      </c>
    </row>
    <row r="406" spans="11:13" ht="14.25" customHeight="1" x14ac:dyDescent="0.35">
      <c r="K406" s="32" t="str">
        <f>IFERROR(VLOOKUP(G406,'Taxonomy Sheet'!$A$3:$C$6,2,FALSE),"")</f>
        <v/>
      </c>
      <c r="L406" s="32" t="str">
        <f>IFERROR(VLOOKUP(F406,'Taxonomy Sheet'!$E$3:$F$5,2,FALSE),"")</f>
        <v/>
      </c>
      <c r="M406" s="32" t="str">
        <f t="shared" si="6"/>
        <v/>
      </c>
    </row>
    <row r="407" spans="11:13" ht="14.25" customHeight="1" x14ac:dyDescent="0.35">
      <c r="K407" s="32" t="str">
        <f>IFERROR(VLOOKUP(G407,'Taxonomy Sheet'!$A$3:$C$6,2,FALSE),"")</f>
        <v/>
      </c>
      <c r="L407" s="32" t="str">
        <f>IFERROR(VLOOKUP(F407,'Taxonomy Sheet'!$E$3:$F$5,2,FALSE),"")</f>
        <v/>
      </c>
      <c r="M407" s="32" t="str">
        <f t="shared" si="6"/>
        <v/>
      </c>
    </row>
    <row r="408" spans="11:13" ht="14.25" customHeight="1" x14ac:dyDescent="0.35">
      <c r="K408" s="32" t="str">
        <f>IFERROR(VLOOKUP(G408,'Taxonomy Sheet'!$A$3:$C$6,2,FALSE),"")</f>
        <v/>
      </c>
      <c r="L408" s="32" t="str">
        <f>IFERROR(VLOOKUP(F408,'Taxonomy Sheet'!$E$3:$F$5,2,FALSE),"")</f>
        <v/>
      </c>
      <c r="M408" s="32" t="str">
        <f t="shared" si="6"/>
        <v/>
      </c>
    </row>
    <row r="409" spans="11:13" ht="14.25" customHeight="1" x14ac:dyDescent="0.35">
      <c r="K409" s="32" t="str">
        <f>IFERROR(VLOOKUP(G409,'Taxonomy Sheet'!$A$3:$C$6,2,FALSE),"")</f>
        <v/>
      </c>
      <c r="L409" s="32" t="str">
        <f>IFERROR(VLOOKUP(F409,'Taxonomy Sheet'!$E$3:$F$5,2,FALSE),"")</f>
        <v/>
      </c>
      <c r="M409" s="32" t="str">
        <f t="shared" si="6"/>
        <v/>
      </c>
    </row>
    <row r="410" spans="11:13" ht="14.25" customHeight="1" x14ac:dyDescent="0.35">
      <c r="K410" s="32" t="str">
        <f>IFERROR(VLOOKUP(G410,'Taxonomy Sheet'!$A$3:$C$6,2,FALSE),"")</f>
        <v/>
      </c>
      <c r="L410" s="32" t="str">
        <f>IFERROR(VLOOKUP(F410,'Taxonomy Sheet'!$E$3:$F$5,2,FALSE),"")</f>
        <v/>
      </c>
      <c r="M410" s="32" t="str">
        <f t="shared" si="6"/>
        <v/>
      </c>
    </row>
    <row r="411" spans="11:13" ht="14.25" customHeight="1" x14ac:dyDescent="0.35">
      <c r="K411" s="32" t="str">
        <f>IFERROR(VLOOKUP(G411,'Taxonomy Sheet'!$A$3:$C$6,2,FALSE),"")</f>
        <v/>
      </c>
      <c r="L411" s="32" t="str">
        <f>IFERROR(VLOOKUP(F411,'Taxonomy Sheet'!$E$3:$F$5,2,FALSE),"")</f>
        <v/>
      </c>
      <c r="M411" s="32" t="str">
        <f t="shared" si="6"/>
        <v/>
      </c>
    </row>
    <row r="412" spans="11:13" ht="14.25" customHeight="1" x14ac:dyDescent="0.35">
      <c r="K412" s="32" t="str">
        <f>IFERROR(VLOOKUP(G412,'Taxonomy Sheet'!$A$3:$C$6,2,FALSE),"")</f>
        <v/>
      </c>
      <c r="L412" s="32" t="str">
        <f>IFERROR(VLOOKUP(F412,'Taxonomy Sheet'!$E$3:$F$5,2,FALSE),"")</f>
        <v/>
      </c>
      <c r="M412" s="32" t="str">
        <f t="shared" si="6"/>
        <v/>
      </c>
    </row>
    <row r="413" spans="11:13" ht="14.25" customHeight="1" x14ac:dyDescent="0.35">
      <c r="K413" s="32" t="str">
        <f>IFERROR(VLOOKUP(G413,'Taxonomy Sheet'!$A$3:$C$6,2,FALSE),"")</f>
        <v/>
      </c>
      <c r="L413" s="32" t="str">
        <f>IFERROR(VLOOKUP(F413,'Taxonomy Sheet'!$E$3:$F$5,2,FALSE),"")</f>
        <v/>
      </c>
      <c r="M413" s="32" t="str">
        <f t="shared" si="6"/>
        <v/>
      </c>
    </row>
    <row r="414" spans="11:13" ht="14.25" customHeight="1" x14ac:dyDescent="0.35">
      <c r="K414" s="32" t="str">
        <f>IFERROR(VLOOKUP(G414,'Taxonomy Sheet'!$A$3:$C$6,2,FALSE),"")</f>
        <v/>
      </c>
      <c r="L414" s="32" t="str">
        <f>IFERROR(VLOOKUP(F414,'Taxonomy Sheet'!$E$3:$F$5,2,FALSE),"")</f>
        <v/>
      </c>
      <c r="M414" s="32" t="str">
        <f t="shared" si="6"/>
        <v/>
      </c>
    </row>
    <row r="415" spans="11:13" ht="14.25" customHeight="1" x14ac:dyDescent="0.35">
      <c r="K415" s="32" t="str">
        <f>IFERROR(VLOOKUP(G415,'Taxonomy Sheet'!$A$3:$C$6,2,FALSE),"")</f>
        <v/>
      </c>
      <c r="L415" s="32" t="str">
        <f>IFERROR(VLOOKUP(F415,'Taxonomy Sheet'!$E$3:$F$5,2,FALSE),"")</f>
        <v/>
      </c>
      <c r="M415" s="32" t="str">
        <f t="shared" si="6"/>
        <v/>
      </c>
    </row>
    <row r="416" spans="11:13" ht="14.25" customHeight="1" x14ac:dyDescent="0.35">
      <c r="K416" s="32" t="str">
        <f>IFERROR(VLOOKUP(G416,'Taxonomy Sheet'!$A$3:$C$6,2,FALSE),"")</f>
        <v/>
      </c>
      <c r="L416" s="32" t="str">
        <f>IFERROR(VLOOKUP(F416,'Taxonomy Sheet'!$E$3:$F$5,2,FALSE),"")</f>
        <v/>
      </c>
      <c r="M416" s="32" t="str">
        <f t="shared" si="6"/>
        <v/>
      </c>
    </row>
    <row r="417" spans="11:13" ht="14.25" customHeight="1" x14ac:dyDescent="0.35">
      <c r="K417" s="32" t="str">
        <f>IFERROR(VLOOKUP(G417,'Taxonomy Sheet'!$A$3:$C$6,2,FALSE),"")</f>
        <v/>
      </c>
      <c r="L417" s="32" t="str">
        <f>IFERROR(VLOOKUP(F417,'Taxonomy Sheet'!$E$3:$F$5,2,FALSE),"")</f>
        <v/>
      </c>
      <c r="M417" s="32" t="str">
        <f t="shared" si="6"/>
        <v/>
      </c>
    </row>
    <row r="418" spans="11:13" ht="14.25" customHeight="1" x14ac:dyDescent="0.35">
      <c r="K418" s="32" t="str">
        <f>IFERROR(VLOOKUP(G418,'Taxonomy Sheet'!$A$3:$C$6,2,FALSE),"")</f>
        <v/>
      </c>
      <c r="L418" s="32" t="str">
        <f>IFERROR(VLOOKUP(F418,'Taxonomy Sheet'!$E$3:$F$5,2,FALSE),"")</f>
        <v/>
      </c>
      <c r="M418" s="32" t="str">
        <f t="shared" si="6"/>
        <v/>
      </c>
    </row>
    <row r="419" spans="11:13" ht="14.25" customHeight="1" x14ac:dyDescent="0.35">
      <c r="K419" s="32" t="str">
        <f>IFERROR(VLOOKUP(G419,'Taxonomy Sheet'!$A$3:$C$6,2,FALSE),"")</f>
        <v/>
      </c>
      <c r="L419" s="32" t="str">
        <f>IFERROR(VLOOKUP(F419,'Taxonomy Sheet'!$E$3:$F$5,2,FALSE),"")</f>
        <v/>
      </c>
      <c r="M419" s="32" t="str">
        <f t="shared" si="6"/>
        <v/>
      </c>
    </row>
    <row r="420" spans="11:13" ht="14.25" customHeight="1" x14ac:dyDescent="0.35">
      <c r="K420" s="32" t="str">
        <f>IFERROR(VLOOKUP(G420,'Taxonomy Sheet'!$A$3:$C$6,2,FALSE),"")</f>
        <v/>
      </c>
      <c r="L420" s="32" t="str">
        <f>IFERROR(VLOOKUP(F420,'Taxonomy Sheet'!$E$3:$F$5,2,FALSE),"")</f>
        <v/>
      </c>
      <c r="M420" s="32" t="str">
        <f t="shared" si="6"/>
        <v/>
      </c>
    </row>
    <row r="421" spans="11:13" ht="14.25" customHeight="1" x14ac:dyDescent="0.35">
      <c r="K421" s="32" t="str">
        <f>IFERROR(VLOOKUP(G421,'Taxonomy Sheet'!$A$3:$C$6,2,FALSE),"")</f>
        <v/>
      </c>
      <c r="L421" s="32" t="str">
        <f>IFERROR(VLOOKUP(F421,'Taxonomy Sheet'!$E$3:$F$5,2,FALSE),"")</f>
        <v/>
      </c>
      <c r="M421" s="32" t="str">
        <f t="shared" si="6"/>
        <v/>
      </c>
    </row>
    <row r="422" spans="11:13" ht="14.25" customHeight="1" x14ac:dyDescent="0.35">
      <c r="K422" s="32" t="str">
        <f>IFERROR(VLOOKUP(G422,'Taxonomy Sheet'!$A$3:$C$6,2,FALSE),"")</f>
        <v/>
      </c>
      <c r="L422" s="32" t="str">
        <f>IFERROR(VLOOKUP(F422,'Taxonomy Sheet'!$E$3:$F$5,2,FALSE),"")</f>
        <v/>
      </c>
      <c r="M422" s="32" t="str">
        <f t="shared" si="6"/>
        <v/>
      </c>
    </row>
    <row r="423" spans="11:13" ht="14.25" customHeight="1" x14ac:dyDescent="0.35">
      <c r="K423" s="32" t="str">
        <f>IFERROR(VLOOKUP(G423,'Taxonomy Sheet'!$A$3:$C$6,2,FALSE),"")</f>
        <v/>
      </c>
      <c r="L423" s="32" t="str">
        <f>IFERROR(VLOOKUP(F423,'Taxonomy Sheet'!$E$3:$F$5,2,FALSE),"")</f>
        <v/>
      </c>
      <c r="M423" s="32" t="str">
        <f t="shared" si="6"/>
        <v/>
      </c>
    </row>
    <row r="424" spans="11:13" ht="14.25" customHeight="1" x14ac:dyDescent="0.35">
      <c r="K424" s="32" t="str">
        <f>IFERROR(VLOOKUP(G424,'Taxonomy Sheet'!$A$3:$C$6,2,FALSE),"")</f>
        <v/>
      </c>
      <c r="L424" s="32" t="str">
        <f>IFERROR(VLOOKUP(F424,'Taxonomy Sheet'!$E$3:$F$5,2,FALSE),"")</f>
        <v/>
      </c>
      <c r="M424" s="32" t="str">
        <f t="shared" si="6"/>
        <v/>
      </c>
    </row>
    <row r="425" spans="11:13" ht="14.25" customHeight="1" x14ac:dyDescent="0.35">
      <c r="K425" s="32" t="str">
        <f>IFERROR(VLOOKUP(G425,'Taxonomy Sheet'!$A$3:$C$6,2,FALSE),"")</f>
        <v/>
      </c>
      <c r="L425" s="32" t="str">
        <f>IFERROR(VLOOKUP(F425,'Taxonomy Sheet'!$E$3:$F$5,2,FALSE),"")</f>
        <v/>
      </c>
      <c r="M425" s="32" t="str">
        <f t="shared" si="6"/>
        <v/>
      </c>
    </row>
    <row r="426" spans="11:13" ht="14.25" customHeight="1" x14ac:dyDescent="0.35">
      <c r="K426" s="32" t="str">
        <f>IFERROR(VLOOKUP(G426,'Taxonomy Sheet'!$A$3:$C$6,2,FALSE),"")</f>
        <v/>
      </c>
      <c r="L426" s="32" t="str">
        <f>IFERROR(VLOOKUP(F426,'Taxonomy Sheet'!$E$3:$F$5,2,FALSE),"")</f>
        <v/>
      </c>
      <c r="M426" s="32" t="str">
        <f t="shared" si="6"/>
        <v/>
      </c>
    </row>
    <row r="427" spans="11:13" ht="14.25" customHeight="1" x14ac:dyDescent="0.35">
      <c r="K427" s="32" t="str">
        <f>IFERROR(VLOOKUP(G427,'Taxonomy Sheet'!$A$3:$C$6,2,FALSE),"")</f>
        <v/>
      </c>
      <c r="L427" s="32" t="str">
        <f>IFERROR(VLOOKUP(F427,'Taxonomy Sheet'!$E$3:$F$5,2,FALSE),"")</f>
        <v/>
      </c>
      <c r="M427" s="32" t="str">
        <f t="shared" si="6"/>
        <v/>
      </c>
    </row>
    <row r="428" spans="11:13" ht="14.25" customHeight="1" x14ac:dyDescent="0.35">
      <c r="K428" s="32" t="str">
        <f>IFERROR(VLOOKUP(G428,'Taxonomy Sheet'!$A$3:$C$6,2,FALSE),"")</f>
        <v/>
      </c>
      <c r="L428" s="32" t="str">
        <f>IFERROR(VLOOKUP(F428,'Taxonomy Sheet'!$E$3:$F$5,2,FALSE),"")</f>
        <v/>
      </c>
      <c r="M428" s="32" t="str">
        <f t="shared" si="6"/>
        <v/>
      </c>
    </row>
    <row r="429" spans="11:13" ht="14.25" customHeight="1" x14ac:dyDescent="0.35">
      <c r="K429" s="32" t="str">
        <f>IFERROR(VLOOKUP(G429,'Taxonomy Sheet'!$A$3:$C$6,2,FALSE),"")</f>
        <v/>
      </c>
      <c r="L429" s="32" t="str">
        <f>IFERROR(VLOOKUP(F429,'Taxonomy Sheet'!$E$3:$F$5,2,FALSE),"")</f>
        <v/>
      </c>
      <c r="M429" s="32" t="str">
        <f t="shared" si="6"/>
        <v/>
      </c>
    </row>
    <row r="430" spans="11:13" ht="14.25" customHeight="1" x14ac:dyDescent="0.35">
      <c r="K430" s="32" t="str">
        <f>IFERROR(VLOOKUP(G430,'Taxonomy Sheet'!$A$3:$C$6,2,FALSE),"")</f>
        <v/>
      </c>
      <c r="L430" s="32" t="str">
        <f>IFERROR(VLOOKUP(F430,'Taxonomy Sheet'!$E$3:$F$5,2,FALSE),"")</f>
        <v/>
      </c>
      <c r="M430" s="32" t="str">
        <f t="shared" si="6"/>
        <v/>
      </c>
    </row>
    <row r="431" spans="11:13" ht="14.25" customHeight="1" x14ac:dyDescent="0.35">
      <c r="K431" s="32" t="str">
        <f>IFERROR(VLOOKUP(G431,'Taxonomy Sheet'!$A$3:$C$6,2,FALSE),"")</f>
        <v/>
      </c>
      <c r="L431" s="32" t="str">
        <f>IFERROR(VLOOKUP(F431,'Taxonomy Sheet'!$E$3:$F$5,2,FALSE),"")</f>
        <v/>
      </c>
      <c r="M431" s="32" t="str">
        <f t="shared" si="6"/>
        <v/>
      </c>
    </row>
    <row r="432" spans="11:13" ht="14.25" customHeight="1" x14ac:dyDescent="0.35">
      <c r="K432" s="32" t="str">
        <f>IFERROR(VLOOKUP(G432,'Taxonomy Sheet'!$A$3:$C$6,2,FALSE),"")</f>
        <v/>
      </c>
      <c r="L432" s="32" t="str">
        <f>IFERROR(VLOOKUP(F432,'Taxonomy Sheet'!$E$3:$F$5,2,FALSE),"")</f>
        <v/>
      </c>
      <c r="M432" s="32" t="str">
        <f t="shared" si="6"/>
        <v/>
      </c>
    </row>
    <row r="433" spans="11:13" ht="14.25" customHeight="1" x14ac:dyDescent="0.35">
      <c r="K433" s="32" t="str">
        <f>IFERROR(VLOOKUP(G433,'Taxonomy Sheet'!$A$3:$C$6,2,FALSE),"")</f>
        <v/>
      </c>
      <c r="L433" s="32" t="str">
        <f>IFERROR(VLOOKUP(F433,'Taxonomy Sheet'!$E$3:$F$5,2,FALSE),"")</f>
        <v/>
      </c>
      <c r="M433" s="32" t="str">
        <f t="shared" si="6"/>
        <v/>
      </c>
    </row>
    <row r="434" spans="11:13" ht="14.25" customHeight="1" x14ac:dyDescent="0.35">
      <c r="K434" s="32" t="str">
        <f>IFERROR(VLOOKUP(G434,'Taxonomy Sheet'!$A$3:$C$6,2,FALSE),"")</f>
        <v/>
      </c>
      <c r="L434" s="32" t="str">
        <f>IFERROR(VLOOKUP(F434,'Taxonomy Sheet'!$E$3:$F$5,2,FALSE),"")</f>
        <v/>
      </c>
      <c r="M434" s="32" t="str">
        <f t="shared" si="6"/>
        <v/>
      </c>
    </row>
    <row r="435" spans="11:13" ht="14.25" customHeight="1" x14ac:dyDescent="0.35">
      <c r="K435" s="32" t="str">
        <f>IFERROR(VLOOKUP(G435,'Taxonomy Sheet'!$A$3:$C$6,2,FALSE),"")</f>
        <v/>
      </c>
      <c r="L435" s="32" t="str">
        <f>IFERROR(VLOOKUP(F435,'Taxonomy Sheet'!$E$3:$F$5,2,FALSE),"")</f>
        <v/>
      </c>
      <c r="M435" s="32" t="str">
        <f t="shared" si="6"/>
        <v/>
      </c>
    </row>
    <row r="436" spans="11:13" ht="14.25" customHeight="1" x14ac:dyDescent="0.35">
      <c r="K436" s="32" t="str">
        <f>IFERROR(VLOOKUP(G436,'Taxonomy Sheet'!$A$3:$C$6,2,FALSE),"")</f>
        <v/>
      </c>
      <c r="L436" s="32" t="str">
        <f>IFERROR(VLOOKUP(F436,'Taxonomy Sheet'!$E$3:$F$5,2,FALSE),"")</f>
        <v/>
      </c>
      <c r="M436" s="32" t="str">
        <f t="shared" si="6"/>
        <v/>
      </c>
    </row>
    <row r="437" spans="11:13" ht="14.25" customHeight="1" x14ac:dyDescent="0.35">
      <c r="K437" s="32" t="str">
        <f>IFERROR(VLOOKUP(G437,'Taxonomy Sheet'!$A$3:$C$6,2,FALSE),"")</f>
        <v/>
      </c>
      <c r="L437" s="32" t="str">
        <f>IFERROR(VLOOKUP(F437,'Taxonomy Sheet'!$E$3:$F$5,2,FALSE),"")</f>
        <v/>
      </c>
      <c r="M437" s="32" t="str">
        <f t="shared" si="6"/>
        <v/>
      </c>
    </row>
    <row r="438" spans="11:13" ht="14.25" customHeight="1" x14ac:dyDescent="0.35">
      <c r="K438" s="32" t="str">
        <f>IFERROR(VLOOKUP(G438,'Taxonomy Sheet'!$A$3:$C$6,2,FALSE),"")</f>
        <v/>
      </c>
      <c r="L438" s="32" t="str">
        <f>IFERROR(VLOOKUP(F438,'Taxonomy Sheet'!$E$3:$F$5,2,FALSE),"")</f>
        <v/>
      </c>
      <c r="M438" s="32" t="str">
        <f t="shared" si="6"/>
        <v/>
      </c>
    </row>
    <row r="439" spans="11:13" ht="14.25" customHeight="1" x14ac:dyDescent="0.35">
      <c r="K439" s="32" t="str">
        <f>IFERROR(VLOOKUP(G439,'Taxonomy Sheet'!$A$3:$C$6,2,FALSE),"")</f>
        <v/>
      </c>
      <c r="L439" s="32" t="str">
        <f>IFERROR(VLOOKUP(F439,'Taxonomy Sheet'!$E$3:$F$5,2,FALSE),"")</f>
        <v/>
      </c>
      <c r="M439" s="32" t="str">
        <f t="shared" si="6"/>
        <v/>
      </c>
    </row>
    <row r="440" spans="11:13" ht="14.25" customHeight="1" x14ac:dyDescent="0.35">
      <c r="K440" s="32" t="str">
        <f>IFERROR(VLOOKUP(G440,'Taxonomy Sheet'!$A$3:$C$6,2,FALSE),"")</f>
        <v/>
      </c>
      <c r="L440" s="32" t="str">
        <f>IFERROR(VLOOKUP(F440,'Taxonomy Sheet'!$E$3:$F$5,2,FALSE),"")</f>
        <v/>
      </c>
      <c r="M440" s="32" t="str">
        <f t="shared" si="6"/>
        <v/>
      </c>
    </row>
    <row r="441" spans="11:13" ht="14.25" customHeight="1" x14ac:dyDescent="0.35">
      <c r="K441" s="32" t="str">
        <f>IFERROR(VLOOKUP(G441,'Taxonomy Sheet'!$A$3:$C$6,2,FALSE),"")</f>
        <v/>
      </c>
      <c r="L441" s="32" t="str">
        <f>IFERROR(VLOOKUP(F441,'Taxonomy Sheet'!$E$3:$F$5,2,FALSE),"")</f>
        <v/>
      </c>
      <c r="M441" s="32" t="str">
        <f t="shared" si="6"/>
        <v/>
      </c>
    </row>
    <row r="442" spans="11:13" ht="14.25" customHeight="1" x14ac:dyDescent="0.35">
      <c r="K442" s="32" t="str">
        <f>IFERROR(VLOOKUP(G442,'Taxonomy Sheet'!$A$3:$C$6,2,FALSE),"")</f>
        <v/>
      </c>
      <c r="L442" s="32" t="str">
        <f>IFERROR(VLOOKUP(F442,'Taxonomy Sheet'!$E$3:$F$5,2,FALSE),"")</f>
        <v/>
      </c>
      <c r="M442" s="32" t="str">
        <f t="shared" si="6"/>
        <v/>
      </c>
    </row>
    <row r="443" spans="11:13" ht="14.25" customHeight="1" x14ac:dyDescent="0.35">
      <c r="K443" s="32" t="str">
        <f>IFERROR(VLOOKUP(G443,'Taxonomy Sheet'!$A$3:$C$6,2,FALSE),"")</f>
        <v/>
      </c>
      <c r="L443" s="32" t="str">
        <f>IFERROR(VLOOKUP(F443,'Taxonomy Sheet'!$E$3:$F$5,2,FALSE),"")</f>
        <v/>
      </c>
      <c r="M443" s="32" t="str">
        <f t="shared" si="6"/>
        <v/>
      </c>
    </row>
    <row r="444" spans="11:13" ht="14.25" customHeight="1" x14ac:dyDescent="0.35">
      <c r="K444" s="32" t="str">
        <f>IFERROR(VLOOKUP(G444,'Taxonomy Sheet'!$A$3:$C$6,2,FALSE),"")</f>
        <v/>
      </c>
      <c r="L444" s="32" t="str">
        <f>IFERROR(VLOOKUP(F444,'Taxonomy Sheet'!$E$3:$F$5,2,FALSE),"")</f>
        <v/>
      </c>
      <c r="M444" s="32" t="str">
        <f t="shared" si="6"/>
        <v/>
      </c>
    </row>
    <row r="445" spans="11:13" ht="14.25" customHeight="1" x14ac:dyDescent="0.35">
      <c r="K445" s="32" t="str">
        <f>IFERROR(VLOOKUP(G445,'Taxonomy Sheet'!$A$3:$C$6,2,FALSE),"")</f>
        <v/>
      </c>
      <c r="L445" s="32" t="str">
        <f>IFERROR(VLOOKUP(F445,'Taxonomy Sheet'!$E$3:$F$5,2,FALSE),"")</f>
        <v/>
      </c>
      <c r="M445" s="32" t="str">
        <f t="shared" si="6"/>
        <v/>
      </c>
    </row>
    <row r="446" spans="11:13" ht="14.25" customHeight="1" x14ac:dyDescent="0.35">
      <c r="K446" s="32" t="str">
        <f>IFERROR(VLOOKUP(G446,'Taxonomy Sheet'!$A$3:$C$6,2,FALSE),"")</f>
        <v/>
      </c>
      <c r="L446" s="32" t="str">
        <f>IFERROR(VLOOKUP(F446,'Taxonomy Sheet'!$E$3:$F$5,2,FALSE),"")</f>
        <v/>
      </c>
      <c r="M446" s="32" t="str">
        <f t="shared" si="6"/>
        <v/>
      </c>
    </row>
    <row r="447" spans="11:13" ht="14.25" customHeight="1" x14ac:dyDescent="0.35">
      <c r="K447" s="32" t="str">
        <f>IFERROR(VLOOKUP(G447,'Taxonomy Sheet'!$A$3:$C$6,2,FALSE),"")</f>
        <v/>
      </c>
      <c r="L447" s="32" t="str">
        <f>IFERROR(VLOOKUP(F447,'Taxonomy Sheet'!$E$3:$F$5,2,FALSE),"")</f>
        <v/>
      </c>
      <c r="M447" s="32" t="str">
        <f t="shared" si="6"/>
        <v/>
      </c>
    </row>
    <row r="448" spans="11:13" ht="14.25" customHeight="1" x14ac:dyDescent="0.35">
      <c r="K448" s="32" t="str">
        <f>IFERROR(VLOOKUP(G448,'Taxonomy Sheet'!$A$3:$C$6,2,FALSE),"")</f>
        <v/>
      </c>
      <c r="L448" s="32" t="str">
        <f>IFERROR(VLOOKUP(F448,'Taxonomy Sheet'!$E$3:$F$5,2,FALSE),"")</f>
        <v/>
      </c>
      <c r="M448" s="32" t="str">
        <f t="shared" si="6"/>
        <v/>
      </c>
    </row>
    <row r="449" spans="11:13" ht="14.25" customHeight="1" x14ac:dyDescent="0.35">
      <c r="K449" s="32" t="str">
        <f>IFERROR(VLOOKUP(G449,'Taxonomy Sheet'!$A$3:$C$6,2,FALSE),"")</f>
        <v/>
      </c>
      <c r="L449" s="32" t="str">
        <f>IFERROR(VLOOKUP(F449,'Taxonomy Sheet'!$E$3:$F$5,2,FALSE),"")</f>
        <v/>
      </c>
      <c r="M449" s="32" t="str">
        <f t="shared" si="6"/>
        <v/>
      </c>
    </row>
    <row r="450" spans="11:13" ht="14.25" customHeight="1" x14ac:dyDescent="0.35">
      <c r="K450" s="32" t="str">
        <f>IFERROR(VLOOKUP(G450,'Taxonomy Sheet'!$A$3:$C$6,2,FALSE),"")</f>
        <v/>
      </c>
      <c r="L450" s="32" t="str">
        <f>IFERROR(VLOOKUP(F450,'Taxonomy Sheet'!$E$3:$F$5,2,FALSE),"")</f>
        <v/>
      </c>
      <c r="M450" s="32" t="str">
        <f t="shared" si="6"/>
        <v/>
      </c>
    </row>
    <row r="451" spans="11:13" ht="14.25" customHeight="1" x14ac:dyDescent="0.35">
      <c r="K451" s="32" t="str">
        <f>IFERROR(VLOOKUP(G451,'Taxonomy Sheet'!$A$3:$C$6,2,FALSE),"")</f>
        <v/>
      </c>
      <c r="L451" s="32" t="str">
        <f>IFERROR(VLOOKUP(F451,'Taxonomy Sheet'!$E$3:$F$5,2,FALSE),"")</f>
        <v/>
      </c>
      <c r="M451" s="32" t="str">
        <f t="shared" si="6"/>
        <v/>
      </c>
    </row>
    <row r="452" spans="11:13" ht="14.25" customHeight="1" x14ac:dyDescent="0.35">
      <c r="K452" s="32" t="str">
        <f>IFERROR(VLOOKUP(G452,'Taxonomy Sheet'!$A$3:$C$6,2,FALSE),"")</f>
        <v/>
      </c>
      <c r="L452" s="32" t="str">
        <f>IFERROR(VLOOKUP(F452,'Taxonomy Sheet'!$E$3:$F$5,2,FALSE),"")</f>
        <v/>
      </c>
      <c r="M452" s="32" t="str">
        <f t="shared" si="6"/>
        <v/>
      </c>
    </row>
    <row r="453" spans="11:13" ht="14.25" customHeight="1" x14ac:dyDescent="0.35">
      <c r="K453" s="32" t="str">
        <f>IFERROR(VLOOKUP(G453,'Taxonomy Sheet'!$A$3:$C$6,2,FALSE),"")</f>
        <v/>
      </c>
      <c r="L453" s="32" t="str">
        <f>IFERROR(VLOOKUP(F453,'Taxonomy Sheet'!$E$3:$F$5,2,FALSE),"")</f>
        <v/>
      </c>
      <c r="M453" s="32" t="str">
        <f t="shared" si="6"/>
        <v/>
      </c>
    </row>
    <row r="454" spans="11:13" ht="14.25" customHeight="1" x14ac:dyDescent="0.35">
      <c r="K454" s="32" t="str">
        <f>IFERROR(VLOOKUP(G454,'Taxonomy Sheet'!$A$3:$C$6,2,FALSE),"")</f>
        <v/>
      </c>
      <c r="L454" s="32" t="str">
        <f>IFERROR(VLOOKUP(F454,'Taxonomy Sheet'!$E$3:$F$5,2,FALSE),"")</f>
        <v/>
      </c>
      <c r="M454" s="32" t="str">
        <f t="shared" si="6"/>
        <v/>
      </c>
    </row>
    <row r="455" spans="11:13" ht="14.25" customHeight="1" x14ac:dyDescent="0.35">
      <c r="K455" s="32" t="str">
        <f>IFERROR(VLOOKUP(G455,'Taxonomy Sheet'!$A$3:$C$6,2,FALSE),"")</f>
        <v/>
      </c>
      <c r="L455" s="32" t="str">
        <f>IFERROR(VLOOKUP(F455,'Taxonomy Sheet'!$E$3:$F$5,2,FALSE),"")</f>
        <v/>
      </c>
      <c r="M455" s="32" t="str">
        <f t="shared" si="6"/>
        <v/>
      </c>
    </row>
    <row r="456" spans="11:13" ht="14.25" customHeight="1" x14ac:dyDescent="0.35">
      <c r="K456" s="32" t="str">
        <f>IFERROR(VLOOKUP(G456,'Taxonomy Sheet'!$A$3:$C$6,2,FALSE),"")</f>
        <v/>
      </c>
      <c r="L456" s="32" t="str">
        <f>IFERROR(VLOOKUP(F456,'Taxonomy Sheet'!$E$3:$F$5,2,FALSE),"")</f>
        <v/>
      </c>
      <c r="M456" s="32" t="str">
        <f t="shared" si="6"/>
        <v/>
      </c>
    </row>
    <row r="457" spans="11:13" ht="14.25" customHeight="1" x14ac:dyDescent="0.35">
      <c r="K457" s="32" t="str">
        <f>IFERROR(VLOOKUP(G457,'Taxonomy Sheet'!$A$3:$C$6,2,FALSE),"")</f>
        <v/>
      </c>
      <c r="L457" s="32" t="str">
        <f>IFERROR(VLOOKUP(F457,'Taxonomy Sheet'!$E$3:$F$5,2,FALSE),"")</f>
        <v/>
      </c>
      <c r="M457" s="32" t="str">
        <f t="shared" si="6"/>
        <v/>
      </c>
    </row>
    <row r="458" spans="11:13" ht="14.25" customHeight="1" x14ac:dyDescent="0.35">
      <c r="K458" s="32" t="str">
        <f>IFERROR(VLOOKUP(G458,'Taxonomy Sheet'!$A$3:$C$6,2,FALSE),"")</f>
        <v/>
      </c>
      <c r="L458" s="32" t="str">
        <f>IFERROR(VLOOKUP(F458,'Taxonomy Sheet'!$E$3:$F$5,2,FALSE),"")</f>
        <v/>
      </c>
      <c r="M458" s="32" t="str">
        <f t="shared" si="6"/>
        <v/>
      </c>
    </row>
    <row r="459" spans="11:13" ht="14.25" customHeight="1" x14ac:dyDescent="0.35">
      <c r="K459" s="32" t="str">
        <f>IFERROR(VLOOKUP(G459,'Taxonomy Sheet'!$A$3:$C$6,2,FALSE),"")</f>
        <v/>
      </c>
      <c r="L459" s="32" t="str">
        <f>IFERROR(VLOOKUP(F459,'Taxonomy Sheet'!$E$3:$F$5,2,FALSE),"")</f>
        <v/>
      </c>
      <c r="M459" s="32" t="str">
        <f t="shared" si="6"/>
        <v/>
      </c>
    </row>
    <row r="460" spans="11:13" ht="14.25" customHeight="1" x14ac:dyDescent="0.35">
      <c r="K460" s="32" t="str">
        <f>IFERROR(VLOOKUP(G460,'Taxonomy Sheet'!$A$3:$C$6,2,FALSE),"")</f>
        <v/>
      </c>
      <c r="L460" s="32" t="str">
        <f>IFERROR(VLOOKUP(F460,'Taxonomy Sheet'!$E$3:$F$5,2,FALSE),"")</f>
        <v/>
      </c>
      <c r="M460" s="32" t="str">
        <f t="shared" si="6"/>
        <v/>
      </c>
    </row>
    <row r="461" spans="11:13" ht="14.25" customHeight="1" x14ac:dyDescent="0.35">
      <c r="K461" s="32" t="str">
        <f>IFERROR(VLOOKUP(G461,'Taxonomy Sheet'!$A$3:$C$6,2,FALSE),"")</f>
        <v/>
      </c>
      <c r="L461" s="32" t="str">
        <f>IFERROR(VLOOKUP(F461,'Taxonomy Sheet'!$E$3:$F$5,2,FALSE),"")</f>
        <v/>
      </c>
      <c r="M461" s="32" t="str">
        <f t="shared" ref="M461:M524" si="7">IF(OR(K461="",L461=""),"",K461*L461)</f>
        <v/>
      </c>
    </row>
    <row r="462" spans="11:13" ht="14.25" customHeight="1" x14ac:dyDescent="0.35">
      <c r="K462" s="32" t="str">
        <f>IFERROR(VLOOKUP(G462,'Taxonomy Sheet'!$A$3:$C$6,2,FALSE),"")</f>
        <v/>
      </c>
      <c r="L462" s="32" t="str">
        <f>IFERROR(VLOOKUP(F462,'Taxonomy Sheet'!$E$3:$F$5,2,FALSE),"")</f>
        <v/>
      </c>
      <c r="M462" s="32" t="str">
        <f t="shared" si="7"/>
        <v/>
      </c>
    </row>
    <row r="463" spans="11:13" ht="14.25" customHeight="1" x14ac:dyDescent="0.35">
      <c r="K463" s="32" t="str">
        <f>IFERROR(VLOOKUP(G463,'Taxonomy Sheet'!$A$3:$C$6,2,FALSE),"")</f>
        <v/>
      </c>
      <c r="L463" s="32" t="str">
        <f>IFERROR(VLOOKUP(F463,'Taxonomy Sheet'!$E$3:$F$5,2,FALSE),"")</f>
        <v/>
      </c>
      <c r="M463" s="32" t="str">
        <f t="shared" si="7"/>
        <v/>
      </c>
    </row>
    <row r="464" spans="11:13" ht="14.25" customHeight="1" x14ac:dyDescent="0.35">
      <c r="K464" s="32" t="str">
        <f>IFERROR(VLOOKUP(G464,'Taxonomy Sheet'!$A$3:$C$6,2,FALSE),"")</f>
        <v/>
      </c>
      <c r="L464" s="32" t="str">
        <f>IFERROR(VLOOKUP(F464,'Taxonomy Sheet'!$E$3:$F$5,2,FALSE),"")</f>
        <v/>
      </c>
      <c r="M464" s="32" t="str">
        <f t="shared" si="7"/>
        <v/>
      </c>
    </row>
    <row r="465" spans="11:13" ht="14.25" customHeight="1" x14ac:dyDescent="0.35">
      <c r="K465" s="32" t="str">
        <f>IFERROR(VLOOKUP(G465,'Taxonomy Sheet'!$A$3:$C$6,2,FALSE),"")</f>
        <v/>
      </c>
      <c r="L465" s="32" t="str">
        <f>IFERROR(VLOOKUP(F465,'Taxonomy Sheet'!$E$3:$F$5,2,FALSE),"")</f>
        <v/>
      </c>
      <c r="M465" s="32" t="str">
        <f t="shared" si="7"/>
        <v/>
      </c>
    </row>
    <row r="466" spans="11:13" ht="14.25" customHeight="1" x14ac:dyDescent="0.35">
      <c r="K466" s="32" t="str">
        <f>IFERROR(VLOOKUP(G466,'Taxonomy Sheet'!$A$3:$C$6,2,FALSE),"")</f>
        <v/>
      </c>
      <c r="L466" s="32" t="str">
        <f>IFERROR(VLOOKUP(F466,'Taxonomy Sheet'!$E$3:$F$5,2,FALSE),"")</f>
        <v/>
      </c>
      <c r="M466" s="32" t="str">
        <f t="shared" si="7"/>
        <v/>
      </c>
    </row>
    <row r="467" spans="11:13" ht="14.25" customHeight="1" x14ac:dyDescent="0.35">
      <c r="K467" s="32" t="str">
        <f>IFERROR(VLOOKUP(G467,'Taxonomy Sheet'!$A$3:$C$6,2,FALSE),"")</f>
        <v/>
      </c>
      <c r="L467" s="32" t="str">
        <f>IFERROR(VLOOKUP(F467,'Taxonomy Sheet'!$E$3:$F$5,2,FALSE),"")</f>
        <v/>
      </c>
      <c r="M467" s="32" t="str">
        <f t="shared" si="7"/>
        <v/>
      </c>
    </row>
    <row r="468" spans="11:13" ht="14.25" customHeight="1" x14ac:dyDescent="0.35">
      <c r="K468" s="32" t="str">
        <f>IFERROR(VLOOKUP(G468,'Taxonomy Sheet'!$A$3:$C$6,2,FALSE),"")</f>
        <v/>
      </c>
      <c r="L468" s="32" t="str">
        <f>IFERROR(VLOOKUP(F468,'Taxonomy Sheet'!$E$3:$F$5,2,FALSE),"")</f>
        <v/>
      </c>
      <c r="M468" s="32" t="str">
        <f t="shared" si="7"/>
        <v/>
      </c>
    </row>
    <row r="469" spans="11:13" ht="14.25" customHeight="1" x14ac:dyDescent="0.35">
      <c r="K469" s="32" t="str">
        <f>IFERROR(VLOOKUP(G469,'Taxonomy Sheet'!$A$3:$C$6,2,FALSE),"")</f>
        <v/>
      </c>
      <c r="L469" s="32" t="str">
        <f>IFERROR(VLOOKUP(F469,'Taxonomy Sheet'!$E$3:$F$5,2,FALSE),"")</f>
        <v/>
      </c>
      <c r="M469" s="32" t="str">
        <f t="shared" si="7"/>
        <v/>
      </c>
    </row>
    <row r="470" spans="11:13" ht="14.25" customHeight="1" x14ac:dyDescent="0.35">
      <c r="K470" s="32" t="str">
        <f>IFERROR(VLOOKUP(G470,'Taxonomy Sheet'!$A$3:$C$6,2,FALSE),"")</f>
        <v/>
      </c>
      <c r="L470" s="32" t="str">
        <f>IFERROR(VLOOKUP(F470,'Taxonomy Sheet'!$E$3:$F$5,2,FALSE),"")</f>
        <v/>
      </c>
      <c r="M470" s="32" t="str">
        <f t="shared" si="7"/>
        <v/>
      </c>
    </row>
    <row r="471" spans="11:13" ht="14.25" customHeight="1" x14ac:dyDescent="0.35">
      <c r="K471" s="32" t="str">
        <f>IFERROR(VLOOKUP(G471,'Taxonomy Sheet'!$A$3:$C$6,2,FALSE),"")</f>
        <v/>
      </c>
      <c r="L471" s="32" t="str">
        <f>IFERROR(VLOOKUP(F471,'Taxonomy Sheet'!$E$3:$F$5,2,FALSE),"")</f>
        <v/>
      </c>
      <c r="M471" s="32" t="str">
        <f t="shared" si="7"/>
        <v/>
      </c>
    </row>
    <row r="472" spans="11:13" ht="14.25" customHeight="1" x14ac:dyDescent="0.35">
      <c r="K472" s="32" t="str">
        <f>IFERROR(VLOOKUP(G472,'Taxonomy Sheet'!$A$3:$C$6,2,FALSE),"")</f>
        <v/>
      </c>
      <c r="L472" s="32" t="str">
        <f>IFERROR(VLOOKUP(F472,'Taxonomy Sheet'!$E$3:$F$5,2,FALSE),"")</f>
        <v/>
      </c>
      <c r="M472" s="32" t="str">
        <f t="shared" si="7"/>
        <v/>
      </c>
    </row>
    <row r="473" spans="11:13" ht="14.25" customHeight="1" x14ac:dyDescent="0.35">
      <c r="K473" s="32" t="str">
        <f>IFERROR(VLOOKUP(G473,'Taxonomy Sheet'!$A$3:$C$6,2,FALSE),"")</f>
        <v/>
      </c>
      <c r="L473" s="32" t="str">
        <f>IFERROR(VLOOKUP(F473,'Taxonomy Sheet'!$E$3:$F$5,2,FALSE),"")</f>
        <v/>
      </c>
      <c r="M473" s="32" t="str">
        <f t="shared" si="7"/>
        <v/>
      </c>
    </row>
    <row r="474" spans="11:13" ht="14.25" customHeight="1" x14ac:dyDescent="0.35">
      <c r="K474" s="32" t="str">
        <f>IFERROR(VLOOKUP(G474,'Taxonomy Sheet'!$A$3:$C$6,2,FALSE),"")</f>
        <v/>
      </c>
      <c r="L474" s="32" t="str">
        <f>IFERROR(VLOOKUP(F474,'Taxonomy Sheet'!$E$3:$F$5,2,FALSE),"")</f>
        <v/>
      </c>
      <c r="M474" s="32" t="str">
        <f t="shared" si="7"/>
        <v/>
      </c>
    </row>
    <row r="475" spans="11:13" ht="14.25" customHeight="1" x14ac:dyDescent="0.35">
      <c r="K475" s="32" t="str">
        <f>IFERROR(VLOOKUP(G475,'Taxonomy Sheet'!$A$3:$C$6,2,FALSE),"")</f>
        <v/>
      </c>
      <c r="L475" s="32" t="str">
        <f>IFERROR(VLOOKUP(F475,'Taxonomy Sheet'!$E$3:$F$5,2,FALSE),"")</f>
        <v/>
      </c>
      <c r="M475" s="32" t="str">
        <f t="shared" si="7"/>
        <v/>
      </c>
    </row>
    <row r="476" spans="11:13" ht="14.25" customHeight="1" x14ac:dyDescent="0.35">
      <c r="K476" s="32" t="str">
        <f>IFERROR(VLOOKUP(G476,'Taxonomy Sheet'!$A$3:$C$6,2,FALSE),"")</f>
        <v/>
      </c>
      <c r="L476" s="32" t="str">
        <f>IFERROR(VLOOKUP(F476,'Taxonomy Sheet'!$E$3:$F$5,2,FALSE),"")</f>
        <v/>
      </c>
      <c r="M476" s="32" t="str">
        <f t="shared" si="7"/>
        <v/>
      </c>
    </row>
    <row r="477" spans="11:13" ht="14.25" customHeight="1" x14ac:dyDescent="0.35">
      <c r="K477" s="32" t="str">
        <f>IFERROR(VLOOKUP(G477,'Taxonomy Sheet'!$A$3:$C$6,2,FALSE),"")</f>
        <v/>
      </c>
      <c r="L477" s="32" t="str">
        <f>IFERROR(VLOOKUP(F477,'Taxonomy Sheet'!$E$3:$F$5,2,FALSE),"")</f>
        <v/>
      </c>
      <c r="M477" s="32" t="str">
        <f t="shared" si="7"/>
        <v/>
      </c>
    </row>
    <row r="478" spans="11:13" ht="14.25" customHeight="1" x14ac:dyDescent="0.35">
      <c r="K478" s="32" t="str">
        <f>IFERROR(VLOOKUP(G478,'Taxonomy Sheet'!$A$3:$C$6,2,FALSE),"")</f>
        <v/>
      </c>
      <c r="L478" s="32" t="str">
        <f>IFERROR(VLOOKUP(F478,'Taxonomy Sheet'!$E$3:$F$5,2,FALSE),"")</f>
        <v/>
      </c>
      <c r="M478" s="32" t="str">
        <f t="shared" si="7"/>
        <v/>
      </c>
    </row>
    <row r="479" spans="11:13" ht="14.25" customHeight="1" x14ac:dyDescent="0.35">
      <c r="K479" s="32" t="str">
        <f>IFERROR(VLOOKUP(G479,'Taxonomy Sheet'!$A$3:$C$6,2,FALSE),"")</f>
        <v/>
      </c>
      <c r="L479" s="32" t="str">
        <f>IFERROR(VLOOKUP(F479,'Taxonomy Sheet'!$E$3:$F$5,2,FALSE),"")</f>
        <v/>
      </c>
      <c r="M479" s="32" t="str">
        <f t="shared" si="7"/>
        <v/>
      </c>
    </row>
    <row r="480" spans="11:13" ht="14.25" customHeight="1" x14ac:dyDescent="0.35">
      <c r="K480" s="32" t="str">
        <f>IFERROR(VLOOKUP(G480,'Taxonomy Sheet'!$A$3:$C$6,2,FALSE),"")</f>
        <v/>
      </c>
      <c r="L480" s="32" t="str">
        <f>IFERROR(VLOOKUP(F480,'Taxonomy Sheet'!$E$3:$F$5,2,FALSE),"")</f>
        <v/>
      </c>
      <c r="M480" s="32" t="str">
        <f t="shared" si="7"/>
        <v/>
      </c>
    </row>
    <row r="481" spans="11:13" ht="14.25" customHeight="1" x14ac:dyDescent="0.35">
      <c r="K481" s="32" t="str">
        <f>IFERROR(VLOOKUP(G481,'Taxonomy Sheet'!$A$3:$C$6,2,FALSE),"")</f>
        <v/>
      </c>
      <c r="L481" s="32" t="str">
        <f>IFERROR(VLOOKUP(F481,'Taxonomy Sheet'!$E$3:$F$5,2,FALSE),"")</f>
        <v/>
      </c>
      <c r="M481" s="32" t="str">
        <f t="shared" si="7"/>
        <v/>
      </c>
    </row>
    <row r="482" spans="11:13" ht="14.25" customHeight="1" x14ac:dyDescent="0.35">
      <c r="K482" s="32" t="str">
        <f>IFERROR(VLOOKUP(G482,'Taxonomy Sheet'!$A$3:$C$6,2,FALSE),"")</f>
        <v/>
      </c>
      <c r="L482" s="32" t="str">
        <f>IFERROR(VLOOKUP(F482,'Taxonomy Sheet'!$E$3:$F$5,2,FALSE),"")</f>
        <v/>
      </c>
      <c r="M482" s="32" t="str">
        <f t="shared" si="7"/>
        <v/>
      </c>
    </row>
    <row r="483" spans="11:13" ht="14.25" customHeight="1" x14ac:dyDescent="0.35">
      <c r="K483" s="32" t="str">
        <f>IFERROR(VLOOKUP(G483,'Taxonomy Sheet'!$A$3:$C$6,2,FALSE),"")</f>
        <v/>
      </c>
      <c r="L483" s="32" t="str">
        <f>IFERROR(VLOOKUP(F483,'Taxonomy Sheet'!$E$3:$F$5,2,FALSE),"")</f>
        <v/>
      </c>
      <c r="M483" s="32" t="str">
        <f t="shared" si="7"/>
        <v/>
      </c>
    </row>
    <row r="484" spans="11:13" ht="14.25" customHeight="1" x14ac:dyDescent="0.35">
      <c r="K484" s="32" t="str">
        <f>IFERROR(VLOOKUP(G484,'Taxonomy Sheet'!$A$3:$C$6,2,FALSE),"")</f>
        <v/>
      </c>
      <c r="L484" s="32" t="str">
        <f>IFERROR(VLOOKUP(F484,'Taxonomy Sheet'!$E$3:$F$5,2,FALSE),"")</f>
        <v/>
      </c>
      <c r="M484" s="32" t="str">
        <f t="shared" si="7"/>
        <v/>
      </c>
    </row>
    <row r="485" spans="11:13" ht="14.25" customHeight="1" x14ac:dyDescent="0.35">
      <c r="K485" s="32" t="str">
        <f>IFERROR(VLOOKUP(G485,'Taxonomy Sheet'!$A$3:$C$6,2,FALSE),"")</f>
        <v/>
      </c>
      <c r="L485" s="32" t="str">
        <f>IFERROR(VLOOKUP(F485,'Taxonomy Sheet'!$E$3:$F$5,2,FALSE),"")</f>
        <v/>
      </c>
      <c r="M485" s="32" t="str">
        <f t="shared" si="7"/>
        <v/>
      </c>
    </row>
    <row r="486" spans="11:13" ht="14.25" customHeight="1" x14ac:dyDescent="0.35">
      <c r="K486" s="32" t="str">
        <f>IFERROR(VLOOKUP(G486,'Taxonomy Sheet'!$A$3:$C$6,2,FALSE),"")</f>
        <v/>
      </c>
      <c r="L486" s="32" t="str">
        <f>IFERROR(VLOOKUP(F486,'Taxonomy Sheet'!$E$3:$F$5,2,FALSE),"")</f>
        <v/>
      </c>
      <c r="M486" s="32" t="str">
        <f t="shared" si="7"/>
        <v/>
      </c>
    </row>
    <row r="487" spans="11:13" ht="14.25" customHeight="1" x14ac:dyDescent="0.35">
      <c r="K487" s="32" t="str">
        <f>IFERROR(VLOOKUP(G487,'Taxonomy Sheet'!$A$3:$C$6,2,FALSE),"")</f>
        <v/>
      </c>
      <c r="L487" s="32" t="str">
        <f>IFERROR(VLOOKUP(F487,'Taxonomy Sheet'!$E$3:$F$5,2,FALSE),"")</f>
        <v/>
      </c>
      <c r="M487" s="32" t="str">
        <f t="shared" si="7"/>
        <v/>
      </c>
    </row>
    <row r="488" spans="11:13" ht="14.25" customHeight="1" x14ac:dyDescent="0.35">
      <c r="K488" s="32" t="str">
        <f>IFERROR(VLOOKUP(G488,'Taxonomy Sheet'!$A$3:$C$6,2,FALSE),"")</f>
        <v/>
      </c>
      <c r="L488" s="32" t="str">
        <f>IFERROR(VLOOKUP(F488,'Taxonomy Sheet'!$E$3:$F$5,2,FALSE),"")</f>
        <v/>
      </c>
      <c r="M488" s="32" t="str">
        <f t="shared" si="7"/>
        <v/>
      </c>
    </row>
    <row r="489" spans="11:13" ht="14.25" customHeight="1" x14ac:dyDescent="0.35">
      <c r="K489" s="32" t="str">
        <f>IFERROR(VLOOKUP(G489,'Taxonomy Sheet'!$A$3:$C$6,2,FALSE),"")</f>
        <v/>
      </c>
      <c r="L489" s="32" t="str">
        <f>IFERROR(VLOOKUP(F489,'Taxonomy Sheet'!$E$3:$F$5,2,FALSE),"")</f>
        <v/>
      </c>
      <c r="M489" s="32" t="str">
        <f t="shared" si="7"/>
        <v/>
      </c>
    </row>
    <row r="490" spans="11:13" ht="14.25" customHeight="1" x14ac:dyDescent="0.35">
      <c r="K490" s="32" t="str">
        <f>IFERROR(VLOOKUP(G490,'Taxonomy Sheet'!$A$3:$C$6,2,FALSE),"")</f>
        <v/>
      </c>
      <c r="L490" s="32" t="str">
        <f>IFERROR(VLOOKUP(F490,'Taxonomy Sheet'!$E$3:$F$5,2,FALSE),"")</f>
        <v/>
      </c>
      <c r="M490" s="32" t="str">
        <f t="shared" si="7"/>
        <v/>
      </c>
    </row>
    <row r="491" spans="11:13" ht="14.25" customHeight="1" x14ac:dyDescent="0.35">
      <c r="K491" s="32" t="str">
        <f>IFERROR(VLOOKUP(G491,'Taxonomy Sheet'!$A$3:$C$6,2,FALSE),"")</f>
        <v/>
      </c>
      <c r="L491" s="32" t="str">
        <f>IFERROR(VLOOKUP(F491,'Taxonomy Sheet'!$E$3:$F$5,2,FALSE),"")</f>
        <v/>
      </c>
      <c r="M491" s="32" t="str">
        <f t="shared" si="7"/>
        <v/>
      </c>
    </row>
    <row r="492" spans="11:13" ht="14.25" customHeight="1" x14ac:dyDescent="0.35">
      <c r="K492" s="32" t="str">
        <f>IFERROR(VLOOKUP(G492,'Taxonomy Sheet'!$A$3:$C$6,2,FALSE),"")</f>
        <v/>
      </c>
      <c r="L492" s="32" t="str">
        <f>IFERROR(VLOOKUP(F492,'Taxonomy Sheet'!$E$3:$F$5,2,FALSE),"")</f>
        <v/>
      </c>
      <c r="M492" s="32" t="str">
        <f t="shared" si="7"/>
        <v/>
      </c>
    </row>
    <row r="493" spans="11:13" ht="14.25" customHeight="1" x14ac:dyDescent="0.35">
      <c r="K493" s="32" t="str">
        <f>IFERROR(VLOOKUP(G493,'Taxonomy Sheet'!$A$3:$C$6,2,FALSE),"")</f>
        <v/>
      </c>
      <c r="L493" s="32" t="str">
        <f>IFERROR(VLOOKUP(F493,'Taxonomy Sheet'!$E$3:$F$5,2,FALSE),"")</f>
        <v/>
      </c>
      <c r="M493" s="32" t="str">
        <f t="shared" si="7"/>
        <v/>
      </c>
    </row>
    <row r="494" spans="11:13" ht="14.25" customHeight="1" x14ac:dyDescent="0.35">
      <c r="K494" s="32" t="str">
        <f>IFERROR(VLOOKUP(G494,'Taxonomy Sheet'!$A$3:$C$6,2,FALSE),"")</f>
        <v/>
      </c>
      <c r="L494" s="32" t="str">
        <f>IFERROR(VLOOKUP(F494,'Taxonomy Sheet'!$E$3:$F$5,2,FALSE),"")</f>
        <v/>
      </c>
      <c r="M494" s="32" t="str">
        <f t="shared" si="7"/>
        <v/>
      </c>
    </row>
    <row r="495" spans="11:13" ht="14.25" customHeight="1" x14ac:dyDescent="0.35">
      <c r="K495" s="32" t="str">
        <f>IFERROR(VLOOKUP(G495,'Taxonomy Sheet'!$A$3:$C$6,2,FALSE),"")</f>
        <v/>
      </c>
      <c r="L495" s="32" t="str">
        <f>IFERROR(VLOOKUP(F495,'Taxonomy Sheet'!$E$3:$F$5,2,FALSE),"")</f>
        <v/>
      </c>
      <c r="M495" s="32" t="str">
        <f t="shared" si="7"/>
        <v/>
      </c>
    </row>
    <row r="496" spans="11:13" ht="14.25" customHeight="1" x14ac:dyDescent="0.35">
      <c r="K496" s="32" t="str">
        <f>IFERROR(VLOOKUP(G496,'Taxonomy Sheet'!$A$3:$C$6,2,FALSE),"")</f>
        <v/>
      </c>
      <c r="L496" s="32" t="str">
        <f>IFERROR(VLOOKUP(F496,'Taxonomy Sheet'!$E$3:$F$5,2,FALSE),"")</f>
        <v/>
      </c>
      <c r="M496" s="32" t="str">
        <f t="shared" si="7"/>
        <v/>
      </c>
    </row>
    <row r="497" spans="11:13" ht="14.25" customHeight="1" x14ac:dyDescent="0.35">
      <c r="K497" s="32" t="str">
        <f>IFERROR(VLOOKUP(G497,'Taxonomy Sheet'!$A$3:$C$6,2,FALSE),"")</f>
        <v/>
      </c>
      <c r="L497" s="32" t="str">
        <f>IFERROR(VLOOKUP(F497,'Taxonomy Sheet'!$E$3:$F$5,2,FALSE),"")</f>
        <v/>
      </c>
      <c r="M497" s="32" t="str">
        <f t="shared" si="7"/>
        <v/>
      </c>
    </row>
    <row r="498" spans="11:13" ht="14.25" customHeight="1" x14ac:dyDescent="0.35">
      <c r="K498" s="32" t="str">
        <f>IFERROR(VLOOKUP(G498,'Taxonomy Sheet'!$A$3:$C$6,2,FALSE),"")</f>
        <v/>
      </c>
      <c r="L498" s="32" t="str">
        <f>IFERROR(VLOOKUP(F498,'Taxonomy Sheet'!$E$3:$F$5,2,FALSE),"")</f>
        <v/>
      </c>
      <c r="M498" s="32" t="str">
        <f t="shared" si="7"/>
        <v/>
      </c>
    </row>
    <row r="499" spans="11:13" ht="14.25" customHeight="1" x14ac:dyDescent="0.35">
      <c r="K499" s="32" t="str">
        <f>IFERROR(VLOOKUP(G499,'Taxonomy Sheet'!$A$3:$C$6,2,FALSE),"")</f>
        <v/>
      </c>
      <c r="L499" s="32" t="str">
        <f>IFERROR(VLOOKUP(F499,'Taxonomy Sheet'!$E$3:$F$5,2,FALSE),"")</f>
        <v/>
      </c>
      <c r="M499" s="32" t="str">
        <f t="shared" si="7"/>
        <v/>
      </c>
    </row>
    <row r="500" spans="11:13" ht="14.25" customHeight="1" x14ac:dyDescent="0.35">
      <c r="K500" s="32" t="str">
        <f>IFERROR(VLOOKUP(G500,'Taxonomy Sheet'!$A$3:$C$6,2,FALSE),"")</f>
        <v/>
      </c>
      <c r="L500" s="32" t="str">
        <f>IFERROR(VLOOKUP(F500,'Taxonomy Sheet'!$E$3:$F$5,2,FALSE),"")</f>
        <v/>
      </c>
      <c r="M500" s="32" t="str">
        <f t="shared" si="7"/>
        <v/>
      </c>
    </row>
    <row r="501" spans="11:13" ht="14.25" customHeight="1" x14ac:dyDescent="0.35">
      <c r="K501" s="32" t="str">
        <f>IFERROR(VLOOKUP(G501,'Taxonomy Sheet'!$A$3:$C$6,2,FALSE),"")</f>
        <v/>
      </c>
      <c r="L501" s="32" t="str">
        <f>IFERROR(VLOOKUP(F501,'Taxonomy Sheet'!$E$3:$F$5,2,FALSE),"")</f>
        <v/>
      </c>
      <c r="M501" s="32" t="str">
        <f t="shared" si="7"/>
        <v/>
      </c>
    </row>
    <row r="502" spans="11:13" ht="14.25" customHeight="1" x14ac:dyDescent="0.35">
      <c r="K502" s="32" t="str">
        <f>IFERROR(VLOOKUP(G502,'Taxonomy Sheet'!$A$3:$C$6,2,FALSE),"")</f>
        <v/>
      </c>
      <c r="L502" s="32" t="str">
        <f>IFERROR(VLOOKUP(F502,'Taxonomy Sheet'!$E$3:$F$5,2,FALSE),"")</f>
        <v/>
      </c>
      <c r="M502" s="32" t="str">
        <f t="shared" si="7"/>
        <v/>
      </c>
    </row>
    <row r="503" spans="11:13" ht="14.25" customHeight="1" x14ac:dyDescent="0.35">
      <c r="K503" s="32" t="str">
        <f>IFERROR(VLOOKUP(G503,'Taxonomy Sheet'!$A$3:$C$6,2,FALSE),"")</f>
        <v/>
      </c>
      <c r="L503" s="32" t="str">
        <f>IFERROR(VLOOKUP(F503,'Taxonomy Sheet'!$E$3:$F$5,2,FALSE),"")</f>
        <v/>
      </c>
      <c r="M503" s="32" t="str">
        <f t="shared" si="7"/>
        <v/>
      </c>
    </row>
    <row r="504" spans="11:13" ht="14.25" customHeight="1" x14ac:dyDescent="0.35">
      <c r="K504" s="32" t="str">
        <f>IFERROR(VLOOKUP(G504,'Taxonomy Sheet'!$A$3:$C$6,2,FALSE),"")</f>
        <v/>
      </c>
      <c r="L504" s="32" t="str">
        <f>IFERROR(VLOOKUP(F504,'Taxonomy Sheet'!$E$3:$F$5,2,FALSE),"")</f>
        <v/>
      </c>
      <c r="M504" s="32" t="str">
        <f t="shared" si="7"/>
        <v/>
      </c>
    </row>
    <row r="505" spans="11:13" ht="14.25" customHeight="1" x14ac:dyDescent="0.35">
      <c r="K505" s="32" t="str">
        <f>IFERROR(VLOOKUP(G505,'Taxonomy Sheet'!$A$3:$C$6,2,FALSE),"")</f>
        <v/>
      </c>
      <c r="L505" s="32" t="str">
        <f>IFERROR(VLOOKUP(F505,'Taxonomy Sheet'!$E$3:$F$5,2,FALSE),"")</f>
        <v/>
      </c>
      <c r="M505" s="32" t="str">
        <f t="shared" si="7"/>
        <v/>
      </c>
    </row>
    <row r="506" spans="11:13" ht="14.25" customHeight="1" x14ac:dyDescent="0.35">
      <c r="K506" s="32" t="str">
        <f>IFERROR(VLOOKUP(G506,'Taxonomy Sheet'!$A$3:$C$6,2,FALSE),"")</f>
        <v/>
      </c>
      <c r="L506" s="32" t="str">
        <f>IFERROR(VLOOKUP(F506,'Taxonomy Sheet'!$E$3:$F$5,2,FALSE),"")</f>
        <v/>
      </c>
      <c r="M506" s="32" t="str">
        <f t="shared" si="7"/>
        <v/>
      </c>
    </row>
    <row r="507" spans="11:13" ht="14.25" customHeight="1" x14ac:dyDescent="0.35">
      <c r="K507" s="32" t="str">
        <f>IFERROR(VLOOKUP(G507,'Taxonomy Sheet'!$A$3:$C$6,2,FALSE),"")</f>
        <v/>
      </c>
      <c r="L507" s="32" t="str">
        <f>IFERROR(VLOOKUP(F507,'Taxonomy Sheet'!$E$3:$F$5,2,FALSE),"")</f>
        <v/>
      </c>
      <c r="M507" s="32" t="str">
        <f t="shared" si="7"/>
        <v/>
      </c>
    </row>
    <row r="508" spans="11:13" ht="14.25" customHeight="1" x14ac:dyDescent="0.35">
      <c r="K508" s="32" t="str">
        <f>IFERROR(VLOOKUP(G508,'Taxonomy Sheet'!$A$3:$C$6,2,FALSE),"")</f>
        <v/>
      </c>
      <c r="L508" s="32" t="str">
        <f>IFERROR(VLOOKUP(F508,'Taxonomy Sheet'!$E$3:$F$5,2,FALSE),"")</f>
        <v/>
      </c>
      <c r="M508" s="32" t="str">
        <f t="shared" si="7"/>
        <v/>
      </c>
    </row>
    <row r="509" spans="11:13" ht="14.25" customHeight="1" x14ac:dyDescent="0.35">
      <c r="K509" s="32" t="str">
        <f>IFERROR(VLOOKUP(G509,'Taxonomy Sheet'!$A$3:$C$6,2,FALSE),"")</f>
        <v/>
      </c>
      <c r="L509" s="32" t="str">
        <f>IFERROR(VLOOKUP(F509,'Taxonomy Sheet'!$E$3:$F$5,2,FALSE),"")</f>
        <v/>
      </c>
      <c r="M509" s="32" t="str">
        <f t="shared" si="7"/>
        <v/>
      </c>
    </row>
    <row r="510" spans="11:13" ht="14.25" customHeight="1" x14ac:dyDescent="0.35">
      <c r="K510" s="32" t="str">
        <f>IFERROR(VLOOKUP(G510,'Taxonomy Sheet'!$A$3:$C$6,2,FALSE),"")</f>
        <v/>
      </c>
      <c r="L510" s="32" t="str">
        <f>IFERROR(VLOOKUP(F510,'Taxonomy Sheet'!$E$3:$F$5,2,FALSE),"")</f>
        <v/>
      </c>
      <c r="M510" s="32" t="str">
        <f t="shared" si="7"/>
        <v/>
      </c>
    </row>
    <row r="511" spans="11:13" ht="14.25" customHeight="1" x14ac:dyDescent="0.35">
      <c r="K511" s="32" t="str">
        <f>IFERROR(VLOOKUP(G511,'Taxonomy Sheet'!$A$3:$C$6,2,FALSE),"")</f>
        <v/>
      </c>
      <c r="L511" s="32" t="str">
        <f>IFERROR(VLOOKUP(F511,'Taxonomy Sheet'!$E$3:$F$5,2,FALSE),"")</f>
        <v/>
      </c>
      <c r="M511" s="32" t="str">
        <f t="shared" si="7"/>
        <v/>
      </c>
    </row>
    <row r="512" spans="11:13" ht="14.25" customHeight="1" x14ac:dyDescent="0.35">
      <c r="K512" s="32" t="str">
        <f>IFERROR(VLOOKUP(G512,'Taxonomy Sheet'!$A$3:$C$6,2,FALSE),"")</f>
        <v/>
      </c>
      <c r="L512" s="32" t="str">
        <f>IFERROR(VLOOKUP(F512,'Taxonomy Sheet'!$E$3:$F$5,2,FALSE),"")</f>
        <v/>
      </c>
      <c r="M512" s="32" t="str">
        <f t="shared" si="7"/>
        <v/>
      </c>
    </row>
    <row r="513" spans="11:13" ht="14.25" customHeight="1" x14ac:dyDescent="0.35">
      <c r="K513" s="32" t="str">
        <f>IFERROR(VLOOKUP(G513,'Taxonomy Sheet'!$A$3:$C$6,2,FALSE),"")</f>
        <v/>
      </c>
      <c r="L513" s="32" t="str">
        <f>IFERROR(VLOOKUP(F513,'Taxonomy Sheet'!$E$3:$F$5,2,FALSE),"")</f>
        <v/>
      </c>
      <c r="M513" s="32" t="str">
        <f t="shared" si="7"/>
        <v/>
      </c>
    </row>
    <row r="514" spans="11:13" ht="14.25" customHeight="1" x14ac:dyDescent="0.35">
      <c r="K514" s="32" t="str">
        <f>IFERROR(VLOOKUP(G514,'Taxonomy Sheet'!$A$3:$C$6,2,FALSE),"")</f>
        <v/>
      </c>
      <c r="L514" s="32" t="str">
        <f>IFERROR(VLOOKUP(F514,'Taxonomy Sheet'!$E$3:$F$5,2,FALSE),"")</f>
        <v/>
      </c>
      <c r="M514" s="32" t="str">
        <f t="shared" si="7"/>
        <v/>
      </c>
    </row>
    <row r="515" spans="11:13" ht="14.25" customHeight="1" x14ac:dyDescent="0.35">
      <c r="K515" s="32" t="str">
        <f>IFERROR(VLOOKUP(G515,'Taxonomy Sheet'!$A$3:$C$6,2,FALSE),"")</f>
        <v/>
      </c>
      <c r="L515" s="32" t="str">
        <f>IFERROR(VLOOKUP(F515,'Taxonomy Sheet'!$E$3:$F$5,2,FALSE),"")</f>
        <v/>
      </c>
      <c r="M515" s="32" t="str">
        <f t="shared" si="7"/>
        <v/>
      </c>
    </row>
    <row r="516" spans="11:13" ht="14.25" customHeight="1" x14ac:dyDescent="0.35">
      <c r="K516" s="32" t="str">
        <f>IFERROR(VLOOKUP(G516,'Taxonomy Sheet'!$A$3:$C$6,2,FALSE),"")</f>
        <v/>
      </c>
      <c r="L516" s="32" t="str">
        <f>IFERROR(VLOOKUP(F516,'Taxonomy Sheet'!$E$3:$F$5,2,FALSE),"")</f>
        <v/>
      </c>
      <c r="M516" s="32" t="str">
        <f t="shared" si="7"/>
        <v/>
      </c>
    </row>
    <row r="517" spans="11:13" ht="14.25" customHeight="1" x14ac:dyDescent="0.35">
      <c r="K517" s="32" t="str">
        <f>IFERROR(VLOOKUP(G517,'Taxonomy Sheet'!$A$3:$C$6,2,FALSE),"")</f>
        <v/>
      </c>
      <c r="L517" s="32" t="str">
        <f>IFERROR(VLOOKUP(F517,'Taxonomy Sheet'!$E$3:$F$5,2,FALSE),"")</f>
        <v/>
      </c>
      <c r="M517" s="32" t="str">
        <f t="shared" si="7"/>
        <v/>
      </c>
    </row>
    <row r="518" spans="11:13" ht="14.25" customHeight="1" x14ac:dyDescent="0.35">
      <c r="K518" s="32" t="str">
        <f>IFERROR(VLOOKUP(G518,'Taxonomy Sheet'!$A$3:$C$6,2,FALSE),"")</f>
        <v/>
      </c>
      <c r="L518" s="32" t="str">
        <f>IFERROR(VLOOKUP(F518,'Taxonomy Sheet'!$E$3:$F$5,2,FALSE),"")</f>
        <v/>
      </c>
      <c r="M518" s="32" t="str">
        <f t="shared" si="7"/>
        <v/>
      </c>
    </row>
    <row r="519" spans="11:13" ht="14.25" customHeight="1" x14ac:dyDescent="0.35">
      <c r="K519" s="32" t="str">
        <f>IFERROR(VLOOKUP(G519,'Taxonomy Sheet'!$A$3:$C$6,2,FALSE),"")</f>
        <v/>
      </c>
      <c r="L519" s="32" t="str">
        <f>IFERROR(VLOOKUP(F519,'Taxonomy Sheet'!$E$3:$F$5,2,FALSE),"")</f>
        <v/>
      </c>
      <c r="M519" s="32" t="str">
        <f t="shared" si="7"/>
        <v/>
      </c>
    </row>
    <row r="520" spans="11:13" ht="14.25" customHeight="1" x14ac:dyDescent="0.35">
      <c r="K520" s="32" t="str">
        <f>IFERROR(VLOOKUP(G520,'Taxonomy Sheet'!$A$3:$C$6,2,FALSE),"")</f>
        <v/>
      </c>
      <c r="L520" s="32" t="str">
        <f>IFERROR(VLOOKUP(F520,'Taxonomy Sheet'!$E$3:$F$5,2,FALSE),"")</f>
        <v/>
      </c>
      <c r="M520" s="32" t="str">
        <f t="shared" si="7"/>
        <v/>
      </c>
    </row>
    <row r="521" spans="11:13" ht="14.25" customHeight="1" x14ac:dyDescent="0.35">
      <c r="K521" s="32" t="str">
        <f>IFERROR(VLOOKUP(G521,'Taxonomy Sheet'!$A$3:$C$6,2,FALSE),"")</f>
        <v/>
      </c>
      <c r="L521" s="32" t="str">
        <f>IFERROR(VLOOKUP(F521,'Taxonomy Sheet'!$E$3:$F$5,2,FALSE),"")</f>
        <v/>
      </c>
      <c r="M521" s="32" t="str">
        <f t="shared" si="7"/>
        <v/>
      </c>
    </row>
    <row r="522" spans="11:13" ht="14.25" customHeight="1" x14ac:dyDescent="0.35">
      <c r="K522" s="32" t="str">
        <f>IFERROR(VLOOKUP(G522,'Taxonomy Sheet'!$A$3:$C$6,2,FALSE),"")</f>
        <v/>
      </c>
      <c r="L522" s="32" t="str">
        <f>IFERROR(VLOOKUP(F522,'Taxonomy Sheet'!$E$3:$F$5,2,FALSE),"")</f>
        <v/>
      </c>
      <c r="M522" s="32" t="str">
        <f t="shared" si="7"/>
        <v/>
      </c>
    </row>
    <row r="523" spans="11:13" ht="14.25" customHeight="1" x14ac:dyDescent="0.35">
      <c r="K523" s="32" t="str">
        <f>IFERROR(VLOOKUP(G523,'Taxonomy Sheet'!$A$3:$C$6,2,FALSE),"")</f>
        <v/>
      </c>
      <c r="L523" s="32" t="str">
        <f>IFERROR(VLOOKUP(F523,'Taxonomy Sheet'!$E$3:$F$5,2,FALSE),"")</f>
        <v/>
      </c>
      <c r="M523" s="32" t="str">
        <f t="shared" si="7"/>
        <v/>
      </c>
    </row>
    <row r="524" spans="11:13" ht="14.25" customHeight="1" x14ac:dyDescent="0.35">
      <c r="K524" s="32" t="str">
        <f>IFERROR(VLOOKUP(G524,'Taxonomy Sheet'!$A$3:$C$6,2,FALSE),"")</f>
        <v/>
      </c>
      <c r="L524" s="32" t="str">
        <f>IFERROR(VLOOKUP(F524,'Taxonomy Sheet'!$E$3:$F$5,2,FALSE),"")</f>
        <v/>
      </c>
      <c r="M524" s="32" t="str">
        <f t="shared" si="7"/>
        <v/>
      </c>
    </row>
    <row r="525" spans="11:13" ht="14.25" customHeight="1" x14ac:dyDescent="0.35">
      <c r="K525" s="32" t="str">
        <f>IFERROR(VLOOKUP(G525,'Taxonomy Sheet'!$A$3:$C$6,2,FALSE),"")</f>
        <v/>
      </c>
      <c r="L525" s="32" t="str">
        <f>IFERROR(VLOOKUP(F525,'Taxonomy Sheet'!$E$3:$F$5,2,FALSE),"")</f>
        <v/>
      </c>
      <c r="M525" s="32" t="str">
        <f t="shared" ref="M525:M588" si="8">IF(OR(K525="",L525=""),"",K525*L525)</f>
        <v/>
      </c>
    </row>
    <row r="526" spans="11:13" ht="14.25" customHeight="1" x14ac:dyDescent="0.35">
      <c r="K526" s="32" t="str">
        <f>IFERROR(VLOOKUP(G526,'Taxonomy Sheet'!$A$3:$C$6,2,FALSE),"")</f>
        <v/>
      </c>
      <c r="L526" s="32" t="str">
        <f>IFERROR(VLOOKUP(F526,'Taxonomy Sheet'!$E$3:$F$5,2,FALSE),"")</f>
        <v/>
      </c>
      <c r="M526" s="32" t="str">
        <f t="shared" si="8"/>
        <v/>
      </c>
    </row>
    <row r="527" spans="11:13" ht="14.25" customHeight="1" x14ac:dyDescent="0.35">
      <c r="K527" s="32" t="str">
        <f>IFERROR(VLOOKUP(G527,'Taxonomy Sheet'!$A$3:$C$6,2,FALSE),"")</f>
        <v/>
      </c>
      <c r="L527" s="32" t="str">
        <f>IFERROR(VLOOKUP(F527,'Taxonomy Sheet'!$E$3:$F$5,2,FALSE),"")</f>
        <v/>
      </c>
      <c r="M527" s="32" t="str">
        <f t="shared" si="8"/>
        <v/>
      </c>
    </row>
    <row r="528" spans="11:13" ht="14.25" customHeight="1" x14ac:dyDescent="0.35">
      <c r="K528" s="32" t="str">
        <f>IFERROR(VLOOKUP(G528,'Taxonomy Sheet'!$A$3:$C$6,2,FALSE),"")</f>
        <v/>
      </c>
      <c r="L528" s="32" t="str">
        <f>IFERROR(VLOOKUP(F528,'Taxonomy Sheet'!$E$3:$F$5,2,FALSE),"")</f>
        <v/>
      </c>
      <c r="M528" s="32" t="str">
        <f t="shared" si="8"/>
        <v/>
      </c>
    </row>
    <row r="529" spans="11:13" ht="14.25" customHeight="1" x14ac:dyDescent="0.35">
      <c r="K529" s="32" t="str">
        <f>IFERROR(VLOOKUP(G529,'Taxonomy Sheet'!$A$3:$C$6,2,FALSE),"")</f>
        <v/>
      </c>
      <c r="L529" s="32" t="str">
        <f>IFERROR(VLOOKUP(F529,'Taxonomy Sheet'!$E$3:$F$5,2,FALSE),"")</f>
        <v/>
      </c>
      <c r="M529" s="32" t="str">
        <f t="shared" si="8"/>
        <v/>
      </c>
    </row>
    <row r="530" spans="11:13" ht="14.25" customHeight="1" x14ac:dyDescent="0.35">
      <c r="K530" s="32" t="str">
        <f>IFERROR(VLOOKUP(G530,'Taxonomy Sheet'!$A$3:$C$6,2,FALSE),"")</f>
        <v/>
      </c>
      <c r="L530" s="32" t="str">
        <f>IFERROR(VLOOKUP(F530,'Taxonomy Sheet'!$E$3:$F$5,2,FALSE),"")</f>
        <v/>
      </c>
      <c r="M530" s="32" t="str">
        <f t="shared" si="8"/>
        <v/>
      </c>
    </row>
    <row r="531" spans="11:13" ht="14.25" customHeight="1" x14ac:dyDescent="0.35">
      <c r="K531" s="32" t="str">
        <f>IFERROR(VLOOKUP(G531,'Taxonomy Sheet'!$A$3:$C$6,2,FALSE),"")</f>
        <v/>
      </c>
      <c r="L531" s="32" t="str">
        <f>IFERROR(VLOOKUP(F531,'Taxonomy Sheet'!$E$3:$F$5,2,FALSE),"")</f>
        <v/>
      </c>
      <c r="M531" s="32" t="str">
        <f t="shared" si="8"/>
        <v/>
      </c>
    </row>
    <row r="532" spans="11:13" ht="14.25" customHeight="1" x14ac:dyDescent="0.35">
      <c r="K532" s="32" t="str">
        <f>IFERROR(VLOOKUP(G532,'Taxonomy Sheet'!$A$3:$C$6,2,FALSE),"")</f>
        <v/>
      </c>
      <c r="L532" s="32" t="str">
        <f>IFERROR(VLOOKUP(F532,'Taxonomy Sheet'!$E$3:$F$5,2,FALSE),"")</f>
        <v/>
      </c>
      <c r="M532" s="32" t="str">
        <f t="shared" si="8"/>
        <v/>
      </c>
    </row>
    <row r="533" spans="11:13" ht="14.25" customHeight="1" x14ac:dyDescent="0.35">
      <c r="K533" s="32" t="str">
        <f>IFERROR(VLOOKUP(G533,'Taxonomy Sheet'!$A$3:$C$6,2,FALSE),"")</f>
        <v/>
      </c>
      <c r="L533" s="32" t="str">
        <f>IFERROR(VLOOKUP(F533,'Taxonomy Sheet'!$E$3:$F$5,2,FALSE),"")</f>
        <v/>
      </c>
      <c r="M533" s="32" t="str">
        <f t="shared" si="8"/>
        <v/>
      </c>
    </row>
    <row r="534" spans="11:13" ht="14.25" customHeight="1" x14ac:dyDescent="0.35">
      <c r="K534" s="32" t="str">
        <f>IFERROR(VLOOKUP(G534,'Taxonomy Sheet'!$A$3:$C$6,2,FALSE),"")</f>
        <v/>
      </c>
      <c r="L534" s="32" t="str">
        <f>IFERROR(VLOOKUP(F534,'Taxonomy Sheet'!$E$3:$F$5,2,FALSE),"")</f>
        <v/>
      </c>
      <c r="M534" s="32" t="str">
        <f t="shared" si="8"/>
        <v/>
      </c>
    </row>
    <row r="535" spans="11:13" ht="14.25" customHeight="1" x14ac:dyDescent="0.35">
      <c r="K535" s="32" t="str">
        <f>IFERROR(VLOOKUP(G535,'Taxonomy Sheet'!$A$3:$C$6,2,FALSE),"")</f>
        <v/>
      </c>
      <c r="L535" s="32" t="str">
        <f>IFERROR(VLOOKUP(F535,'Taxonomy Sheet'!$E$3:$F$5,2,FALSE),"")</f>
        <v/>
      </c>
      <c r="M535" s="32" t="str">
        <f t="shared" si="8"/>
        <v/>
      </c>
    </row>
    <row r="536" spans="11:13" ht="14.25" customHeight="1" x14ac:dyDescent="0.35">
      <c r="K536" s="32" t="str">
        <f>IFERROR(VLOOKUP(G536,'Taxonomy Sheet'!$A$3:$C$6,2,FALSE),"")</f>
        <v/>
      </c>
      <c r="L536" s="32" t="str">
        <f>IFERROR(VLOOKUP(F536,'Taxonomy Sheet'!$E$3:$F$5,2,FALSE),"")</f>
        <v/>
      </c>
      <c r="M536" s="32" t="str">
        <f t="shared" si="8"/>
        <v/>
      </c>
    </row>
    <row r="537" spans="11:13" ht="14.25" customHeight="1" x14ac:dyDescent="0.35">
      <c r="K537" s="32" t="str">
        <f>IFERROR(VLOOKUP(G537,'Taxonomy Sheet'!$A$3:$C$6,2,FALSE),"")</f>
        <v/>
      </c>
      <c r="L537" s="32" t="str">
        <f>IFERROR(VLOOKUP(F537,'Taxonomy Sheet'!$E$3:$F$5,2,FALSE),"")</f>
        <v/>
      </c>
      <c r="M537" s="32" t="str">
        <f t="shared" si="8"/>
        <v/>
      </c>
    </row>
    <row r="538" spans="11:13" ht="14.25" customHeight="1" x14ac:dyDescent="0.35">
      <c r="K538" s="32" t="str">
        <f>IFERROR(VLOOKUP(G538,'Taxonomy Sheet'!$A$3:$C$6,2,FALSE),"")</f>
        <v/>
      </c>
      <c r="L538" s="32" t="str">
        <f>IFERROR(VLOOKUP(F538,'Taxonomy Sheet'!$E$3:$F$5,2,FALSE),"")</f>
        <v/>
      </c>
      <c r="M538" s="32" t="str">
        <f t="shared" si="8"/>
        <v/>
      </c>
    </row>
    <row r="539" spans="11:13" ht="14.25" customHeight="1" x14ac:dyDescent="0.35">
      <c r="K539" s="32" t="str">
        <f>IFERROR(VLOOKUP(G539,'Taxonomy Sheet'!$A$3:$C$6,2,FALSE),"")</f>
        <v/>
      </c>
      <c r="L539" s="32" t="str">
        <f>IFERROR(VLOOKUP(F539,'Taxonomy Sheet'!$E$3:$F$5,2,FALSE),"")</f>
        <v/>
      </c>
      <c r="M539" s="32" t="str">
        <f t="shared" si="8"/>
        <v/>
      </c>
    </row>
    <row r="540" spans="11:13" ht="14.25" customHeight="1" x14ac:dyDescent="0.35">
      <c r="K540" s="32" t="str">
        <f>IFERROR(VLOOKUP(G540,'Taxonomy Sheet'!$A$3:$C$6,2,FALSE),"")</f>
        <v/>
      </c>
      <c r="L540" s="32" t="str">
        <f>IFERROR(VLOOKUP(F540,'Taxonomy Sheet'!$E$3:$F$5,2,FALSE),"")</f>
        <v/>
      </c>
      <c r="M540" s="32" t="str">
        <f t="shared" si="8"/>
        <v/>
      </c>
    </row>
    <row r="541" spans="11:13" ht="14.25" customHeight="1" x14ac:dyDescent="0.35">
      <c r="K541" s="32" t="str">
        <f>IFERROR(VLOOKUP(G541,'Taxonomy Sheet'!$A$3:$C$6,2,FALSE),"")</f>
        <v/>
      </c>
      <c r="L541" s="32" t="str">
        <f>IFERROR(VLOOKUP(F541,'Taxonomy Sheet'!$E$3:$F$5,2,FALSE),"")</f>
        <v/>
      </c>
      <c r="M541" s="32" t="str">
        <f t="shared" si="8"/>
        <v/>
      </c>
    </row>
    <row r="542" spans="11:13" ht="14.25" customHeight="1" x14ac:dyDescent="0.35">
      <c r="K542" s="32" t="str">
        <f>IFERROR(VLOOKUP(G542,'Taxonomy Sheet'!$A$3:$C$6,2,FALSE),"")</f>
        <v/>
      </c>
      <c r="L542" s="32" t="str">
        <f>IFERROR(VLOOKUP(F542,'Taxonomy Sheet'!$E$3:$F$5,2,FALSE),"")</f>
        <v/>
      </c>
      <c r="M542" s="32" t="str">
        <f t="shared" si="8"/>
        <v/>
      </c>
    </row>
    <row r="543" spans="11:13" ht="14.25" customHeight="1" x14ac:dyDescent="0.35">
      <c r="K543" s="32" t="str">
        <f>IFERROR(VLOOKUP(G543,'Taxonomy Sheet'!$A$3:$C$6,2,FALSE),"")</f>
        <v/>
      </c>
      <c r="L543" s="32" t="str">
        <f>IFERROR(VLOOKUP(F543,'Taxonomy Sheet'!$E$3:$F$5,2,FALSE),"")</f>
        <v/>
      </c>
      <c r="M543" s="32" t="str">
        <f t="shared" si="8"/>
        <v/>
      </c>
    </row>
    <row r="544" spans="11:13" ht="14.25" customHeight="1" x14ac:dyDescent="0.35">
      <c r="K544" s="32" t="str">
        <f>IFERROR(VLOOKUP(G544,'Taxonomy Sheet'!$A$3:$C$6,2,FALSE),"")</f>
        <v/>
      </c>
      <c r="L544" s="32" t="str">
        <f>IFERROR(VLOOKUP(F544,'Taxonomy Sheet'!$E$3:$F$5,2,FALSE),"")</f>
        <v/>
      </c>
      <c r="M544" s="32" t="str">
        <f t="shared" si="8"/>
        <v/>
      </c>
    </row>
    <row r="545" spans="11:13" ht="14.25" customHeight="1" x14ac:dyDescent="0.35">
      <c r="K545" s="32" t="str">
        <f>IFERROR(VLOOKUP(G545,'Taxonomy Sheet'!$A$3:$C$6,2,FALSE),"")</f>
        <v/>
      </c>
      <c r="L545" s="32" t="str">
        <f>IFERROR(VLOOKUP(F545,'Taxonomy Sheet'!$E$3:$F$5,2,FALSE),"")</f>
        <v/>
      </c>
      <c r="M545" s="32" t="str">
        <f t="shared" si="8"/>
        <v/>
      </c>
    </row>
    <row r="546" spans="11:13" ht="14.25" customHeight="1" x14ac:dyDescent="0.35">
      <c r="K546" s="32" t="str">
        <f>IFERROR(VLOOKUP(G546,'Taxonomy Sheet'!$A$3:$C$6,2,FALSE),"")</f>
        <v/>
      </c>
      <c r="L546" s="32" t="str">
        <f>IFERROR(VLOOKUP(F546,'Taxonomy Sheet'!$E$3:$F$5,2,FALSE),"")</f>
        <v/>
      </c>
      <c r="M546" s="32" t="str">
        <f t="shared" si="8"/>
        <v/>
      </c>
    </row>
    <row r="547" spans="11:13" ht="14.25" customHeight="1" x14ac:dyDescent="0.35">
      <c r="K547" s="32" t="str">
        <f>IFERROR(VLOOKUP(G547,'Taxonomy Sheet'!$A$3:$C$6,2,FALSE),"")</f>
        <v/>
      </c>
      <c r="L547" s="32" t="str">
        <f>IFERROR(VLOOKUP(F547,'Taxonomy Sheet'!$E$3:$F$5,2,FALSE),"")</f>
        <v/>
      </c>
      <c r="M547" s="32" t="str">
        <f t="shared" si="8"/>
        <v/>
      </c>
    </row>
    <row r="548" spans="11:13" ht="14.25" customHeight="1" x14ac:dyDescent="0.35">
      <c r="K548" s="32" t="str">
        <f>IFERROR(VLOOKUP(G548,'Taxonomy Sheet'!$A$3:$C$6,2,FALSE),"")</f>
        <v/>
      </c>
      <c r="L548" s="32" t="str">
        <f>IFERROR(VLOOKUP(F548,'Taxonomy Sheet'!$E$3:$F$5,2,FALSE),"")</f>
        <v/>
      </c>
      <c r="M548" s="32" t="str">
        <f t="shared" si="8"/>
        <v/>
      </c>
    </row>
    <row r="549" spans="11:13" ht="14.25" customHeight="1" x14ac:dyDescent="0.35">
      <c r="K549" s="32" t="str">
        <f>IFERROR(VLOOKUP(G549,'Taxonomy Sheet'!$A$3:$C$6,2,FALSE),"")</f>
        <v/>
      </c>
      <c r="L549" s="32" t="str">
        <f>IFERROR(VLOOKUP(F549,'Taxonomy Sheet'!$E$3:$F$5,2,FALSE),"")</f>
        <v/>
      </c>
      <c r="M549" s="32" t="str">
        <f t="shared" si="8"/>
        <v/>
      </c>
    </row>
    <row r="550" spans="11:13" ht="14.25" customHeight="1" x14ac:dyDescent="0.35">
      <c r="K550" s="32" t="str">
        <f>IFERROR(VLOOKUP(G550,'Taxonomy Sheet'!$A$3:$C$6,2,FALSE),"")</f>
        <v/>
      </c>
      <c r="L550" s="32" t="str">
        <f>IFERROR(VLOOKUP(F550,'Taxonomy Sheet'!$E$3:$F$5,2,FALSE),"")</f>
        <v/>
      </c>
      <c r="M550" s="32" t="str">
        <f t="shared" si="8"/>
        <v/>
      </c>
    </row>
    <row r="551" spans="11:13" ht="14.25" customHeight="1" x14ac:dyDescent="0.35">
      <c r="K551" s="32" t="str">
        <f>IFERROR(VLOOKUP(G551,'Taxonomy Sheet'!$A$3:$C$6,2,FALSE),"")</f>
        <v/>
      </c>
      <c r="L551" s="32" t="str">
        <f>IFERROR(VLOOKUP(F551,'Taxonomy Sheet'!$E$3:$F$5,2,FALSE),"")</f>
        <v/>
      </c>
      <c r="M551" s="32" t="str">
        <f t="shared" si="8"/>
        <v/>
      </c>
    </row>
    <row r="552" spans="11:13" ht="14.25" customHeight="1" x14ac:dyDescent="0.35">
      <c r="K552" s="32" t="str">
        <f>IFERROR(VLOOKUP(G552,'Taxonomy Sheet'!$A$3:$C$6,2,FALSE),"")</f>
        <v/>
      </c>
      <c r="L552" s="32" t="str">
        <f>IFERROR(VLOOKUP(F552,'Taxonomy Sheet'!$E$3:$F$5,2,FALSE),"")</f>
        <v/>
      </c>
      <c r="M552" s="32" t="str">
        <f t="shared" si="8"/>
        <v/>
      </c>
    </row>
    <row r="553" spans="11:13" ht="14.25" customHeight="1" x14ac:dyDescent="0.35">
      <c r="K553" s="32" t="str">
        <f>IFERROR(VLOOKUP(G553,'Taxonomy Sheet'!$A$3:$C$6,2,FALSE),"")</f>
        <v/>
      </c>
      <c r="L553" s="32" t="str">
        <f>IFERROR(VLOOKUP(F553,'Taxonomy Sheet'!$E$3:$F$5,2,FALSE),"")</f>
        <v/>
      </c>
      <c r="M553" s="32" t="str">
        <f t="shared" si="8"/>
        <v/>
      </c>
    </row>
    <row r="554" spans="11:13" ht="14.25" customHeight="1" x14ac:dyDescent="0.35">
      <c r="K554" s="32" t="str">
        <f>IFERROR(VLOOKUP(G554,'Taxonomy Sheet'!$A$3:$C$6,2,FALSE),"")</f>
        <v/>
      </c>
      <c r="L554" s="32" t="str">
        <f>IFERROR(VLOOKUP(F554,'Taxonomy Sheet'!$E$3:$F$5,2,FALSE),"")</f>
        <v/>
      </c>
      <c r="M554" s="32" t="str">
        <f t="shared" si="8"/>
        <v/>
      </c>
    </row>
    <row r="555" spans="11:13" ht="14.25" customHeight="1" x14ac:dyDescent="0.35">
      <c r="K555" s="32" t="str">
        <f>IFERROR(VLOOKUP(G555,'Taxonomy Sheet'!$A$3:$C$6,2,FALSE),"")</f>
        <v/>
      </c>
      <c r="L555" s="32" t="str">
        <f>IFERROR(VLOOKUP(F555,'Taxonomy Sheet'!$E$3:$F$5,2,FALSE),"")</f>
        <v/>
      </c>
      <c r="M555" s="32" t="str">
        <f t="shared" si="8"/>
        <v/>
      </c>
    </row>
    <row r="556" spans="11:13" ht="14.25" customHeight="1" x14ac:dyDescent="0.35">
      <c r="K556" s="32" t="str">
        <f>IFERROR(VLOOKUP(G556,'Taxonomy Sheet'!$A$3:$C$6,2,FALSE),"")</f>
        <v/>
      </c>
      <c r="L556" s="32" t="str">
        <f>IFERROR(VLOOKUP(F556,'Taxonomy Sheet'!$E$3:$F$5,2,FALSE),"")</f>
        <v/>
      </c>
      <c r="M556" s="32" t="str">
        <f t="shared" si="8"/>
        <v/>
      </c>
    </row>
    <row r="557" spans="11:13" ht="14.25" customHeight="1" x14ac:dyDescent="0.35">
      <c r="K557" s="32" t="str">
        <f>IFERROR(VLOOKUP(G557,'Taxonomy Sheet'!$A$3:$C$6,2,FALSE),"")</f>
        <v/>
      </c>
      <c r="L557" s="32" t="str">
        <f>IFERROR(VLOOKUP(F557,'Taxonomy Sheet'!$E$3:$F$5,2,FALSE),"")</f>
        <v/>
      </c>
      <c r="M557" s="32" t="str">
        <f t="shared" si="8"/>
        <v/>
      </c>
    </row>
    <row r="558" spans="11:13" ht="14.25" customHeight="1" x14ac:dyDescent="0.35">
      <c r="K558" s="32" t="str">
        <f>IFERROR(VLOOKUP(G558,'Taxonomy Sheet'!$A$3:$C$6,2,FALSE),"")</f>
        <v/>
      </c>
      <c r="L558" s="32" t="str">
        <f>IFERROR(VLOOKUP(F558,'Taxonomy Sheet'!$E$3:$F$5,2,FALSE),"")</f>
        <v/>
      </c>
      <c r="M558" s="32" t="str">
        <f t="shared" si="8"/>
        <v/>
      </c>
    </row>
    <row r="559" spans="11:13" ht="14.25" customHeight="1" x14ac:dyDescent="0.35">
      <c r="K559" s="32" t="str">
        <f>IFERROR(VLOOKUP(G559,'Taxonomy Sheet'!$A$3:$C$6,2,FALSE),"")</f>
        <v/>
      </c>
      <c r="L559" s="32" t="str">
        <f>IFERROR(VLOOKUP(F559,'Taxonomy Sheet'!$E$3:$F$5,2,FALSE),"")</f>
        <v/>
      </c>
      <c r="M559" s="32" t="str">
        <f t="shared" si="8"/>
        <v/>
      </c>
    </row>
    <row r="560" spans="11:13" ht="14.25" customHeight="1" x14ac:dyDescent="0.35">
      <c r="K560" s="32" t="str">
        <f>IFERROR(VLOOKUP(G560,'Taxonomy Sheet'!$A$3:$C$6,2,FALSE),"")</f>
        <v/>
      </c>
      <c r="L560" s="32" t="str">
        <f>IFERROR(VLOOKUP(F560,'Taxonomy Sheet'!$E$3:$F$5,2,FALSE),"")</f>
        <v/>
      </c>
      <c r="M560" s="32" t="str">
        <f t="shared" si="8"/>
        <v/>
      </c>
    </row>
    <row r="561" spans="11:13" ht="14.25" customHeight="1" x14ac:dyDescent="0.35">
      <c r="K561" s="32" t="str">
        <f>IFERROR(VLOOKUP(G561,'Taxonomy Sheet'!$A$3:$C$6,2,FALSE),"")</f>
        <v/>
      </c>
      <c r="L561" s="32" t="str">
        <f>IFERROR(VLOOKUP(F561,'Taxonomy Sheet'!$E$3:$F$5,2,FALSE),"")</f>
        <v/>
      </c>
      <c r="M561" s="32" t="str">
        <f t="shared" si="8"/>
        <v/>
      </c>
    </row>
    <row r="562" spans="11:13" ht="14.25" customHeight="1" x14ac:dyDescent="0.35">
      <c r="K562" s="32" t="str">
        <f>IFERROR(VLOOKUP(G562,'Taxonomy Sheet'!$A$3:$C$6,2,FALSE),"")</f>
        <v/>
      </c>
      <c r="L562" s="32" t="str">
        <f>IFERROR(VLOOKUP(F562,'Taxonomy Sheet'!$E$3:$F$5,2,FALSE),"")</f>
        <v/>
      </c>
      <c r="M562" s="32" t="str">
        <f t="shared" si="8"/>
        <v/>
      </c>
    </row>
    <row r="563" spans="11:13" ht="14.25" customHeight="1" x14ac:dyDescent="0.35">
      <c r="K563" s="32" t="str">
        <f>IFERROR(VLOOKUP(G563,'Taxonomy Sheet'!$A$3:$C$6,2,FALSE),"")</f>
        <v/>
      </c>
      <c r="L563" s="32" t="str">
        <f>IFERROR(VLOOKUP(F563,'Taxonomy Sheet'!$E$3:$F$5,2,FALSE),"")</f>
        <v/>
      </c>
      <c r="M563" s="32" t="str">
        <f t="shared" si="8"/>
        <v/>
      </c>
    </row>
    <row r="564" spans="11:13" ht="14.25" customHeight="1" x14ac:dyDescent="0.35">
      <c r="K564" s="32" t="str">
        <f>IFERROR(VLOOKUP(G564,'Taxonomy Sheet'!$A$3:$C$6,2,FALSE),"")</f>
        <v/>
      </c>
      <c r="L564" s="32" t="str">
        <f>IFERROR(VLOOKUP(F564,'Taxonomy Sheet'!$E$3:$F$5,2,FALSE),"")</f>
        <v/>
      </c>
      <c r="M564" s="32" t="str">
        <f t="shared" si="8"/>
        <v/>
      </c>
    </row>
    <row r="565" spans="11:13" ht="14.25" customHeight="1" x14ac:dyDescent="0.35">
      <c r="K565" s="32" t="str">
        <f>IFERROR(VLOOKUP(G565,'Taxonomy Sheet'!$A$3:$C$6,2,FALSE),"")</f>
        <v/>
      </c>
      <c r="L565" s="32" t="str">
        <f>IFERROR(VLOOKUP(F565,'Taxonomy Sheet'!$E$3:$F$5,2,FALSE),"")</f>
        <v/>
      </c>
      <c r="M565" s="32" t="str">
        <f t="shared" si="8"/>
        <v/>
      </c>
    </row>
    <row r="566" spans="11:13" ht="14.25" customHeight="1" x14ac:dyDescent="0.35">
      <c r="K566" s="32" t="str">
        <f>IFERROR(VLOOKUP(G566,'Taxonomy Sheet'!$A$3:$C$6,2,FALSE),"")</f>
        <v/>
      </c>
      <c r="L566" s="32" t="str">
        <f>IFERROR(VLOOKUP(F566,'Taxonomy Sheet'!$E$3:$F$5,2,FALSE),"")</f>
        <v/>
      </c>
      <c r="M566" s="32" t="str">
        <f t="shared" si="8"/>
        <v/>
      </c>
    </row>
    <row r="567" spans="11:13" ht="14.25" customHeight="1" x14ac:dyDescent="0.35">
      <c r="K567" s="32" t="str">
        <f>IFERROR(VLOOKUP(G567,'Taxonomy Sheet'!$A$3:$C$6,2,FALSE),"")</f>
        <v/>
      </c>
      <c r="L567" s="32" t="str">
        <f>IFERROR(VLOOKUP(F567,'Taxonomy Sheet'!$E$3:$F$5,2,FALSE),"")</f>
        <v/>
      </c>
      <c r="M567" s="32" t="str">
        <f t="shared" si="8"/>
        <v/>
      </c>
    </row>
    <row r="568" spans="11:13" ht="14.25" customHeight="1" x14ac:dyDescent="0.35">
      <c r="K568" s="32" t="str">
        <f>IFERROR(VLOOKUP(G568,'Taxonomy Sheet'!$A$3:$C$6,2,FALSE),"")</f>
        <v/>
      </c>
      <c r="L568" s="32" t="str">
        <f>IFERROR(VLOOKUP(F568,'Taxonomy Sheet'!$E$3:$F$5,2,FALSE),"")</f>
        <v/>
      </c>
      <c r="M568" s="32" t="str">
        <f t="shared" si="8"/>
        <v/>
      </c>
    </row>
    <row r="569" spans="11:13" ht="14.25" customHeight="1" x14ac:dyDescent="0.35">
      <c r="K569" s="32" t="str">
        <f>IFERROR(VLOOKUP(G569,'Taxonomy Sheet'!$A$3:$C$6,2,FALSE),"")</f>
        <v/>
      </c>
      <c r="L569" s="32" t="str">
        <f>IFERROR(VLOOKUP(F569,'Taxonomy Sheet'!$E$3:$F$5,2,FALSE),"")</f>
        <v/>
      </c>
      <c r="M569" s="32" t="str">
        <f t="shared" si="8"/>
        <v/>
      </c>
    </row>
    <row r="570" spans="11:13" ht="14.25" customHeight="1" x14ac:dyDescent="0.35">
      <c r="K570" s="32" t="str">
        <f>IFERROR(VLOOKUP(G570,'Taxonomy Sheet'!$A$3:$C$6,2,FALSE),"")</f>
        <v/>
      </c>
      <c r="L570" s="32" t="str">
        <f>IFERROR(VLOOKUP(F570,'Taxonomy Sheet'!$E$3:$F$5,2,FALSE),"")</f>
        <v/>
      </c>
      <c r="M570" s="32" t="str">
        <f t="shared" si="8"/>
        <v/>
      </c>
    </row>
    <row r="571" spans="11:13" ht="14.25" customHeight="1" x14ac:dyDescent="0.35">
      <c r="K571" s="32" t="str">
        <f>IFERROR(VLOOKUP(G571,'Taxonomy Sheet'!$A$3:$C$6,2,FALSE),"")</f>
        <v/>
      </c>
      <c r="L571" s="32" t="str">
        <f>IFERROR(VLOOKUP(F571,'Taxonomy Sheet'!$E$3:$F$5,2,FALSE),"")</f>
        <v/>
      </c>
      <c r="M571" s="32" t="str">
        <f t="shared" si="8"/>
        <v/>
      </c>
    </row>
    <row r="572" spans="11:13" ht="14.25" customHeight="1" x14ac:dyDescent="0.35">
      <c r="K572" s="32" t="str">
        <f>IFERROR(VLOOKUP(G572,'Taxonomy Sheet'!$A$3:$C$6,2,FALSE),"")</f>
        <v/>
      </c>
      <c r="L572" s="32" t="str">
        <f>IFERROR(VLOOKUP(F572,'Taxonomy Sheet'!$E$3:$F$5,2,FALSE),"")</f>
        <v/>
      </c>
      <c r="M572" s="32" t="str">
        <f t="shared" si="8"/>
        <v/>
      </c>
    </row>
    <row r="573" spans="11:13" ht="14.25" customHeight="1" x14ac:dyDescent="0.35">
      <c r="K573" s="32" t="str">
        <f>IFERROR(VLOOKUP(G573,'Taxonomy Sheet'!$A$3:$C$6,2,FALSE),"")</f>
        <v/>
      </c>
      <c r="L573" s="32" t="str">
        <f>IFERROR(VLOOKUP(F573,'Taxonomy Sheet'!$E$3:$F$5,2,FALSE),"")</f>
        <v/>
      </c>
      <c r="M573" s="32" t="str">
        <f t="shared" si="8"/>
        <v/>
      </c>
    </row>
    <row r="574" spans="11:13" ht="14.25" customHeight="1" x14ac:dyDescent="0.35">
      <c r="K574" s="32" t="str">
        <f>IFERROR(VLOOKUP(G574,'Taxonomy Sheet'!$A$3:$C$6,2,FALSE),"")</f>
        <v/>
      </c>
      <c r="L574" s="32" t="str">
        <f>IFERROR(VLOOKUP(F574,'Taxonomy Sheet'!$E$3:$F$5,2,FALSE),"")</f>
        <v/>
      </c>
      <c r="M574" s="32" t="str">
        <f t="shared" si="8"/>
        <v/>
      </c>
    </row>
    <row r="575" spans="11:13" ht="14.25" customHeight="1" x14ac:dyDescent="0.35">
      <c r="K575" s="32" t="str">
        <f>IFERROR(VLOOKUP(G575,'Taxonomy Sheet'!$A$3:$C$6,2,FALSE),"")</f>
        <v/>
      </c>
      <c r="L575" s="32" t="str">
        <f>IFERROR(VLOOKUP(F575,'Taxonomy Sheet'!$E$3:$F$5,2,FALSE),"")</f>
        <v/>
      </c>
      <c r="M575" s="32" t="str">
        <f t="shared" si="8"/>
        <v/>
      </c>
    </row>
    <row r="576" spans="11:13" ht="14.25" customHeight="1" x14ac:dyDescent="0.35">
      <c r="K576" s="32" t="str">
        <f>IFERROR(VLOOKUP(G576,'Taxonomy Sheet'!$A$3:$C$6,2,FALSE),"")</f>
        <v/>
      </c>
      <c r="L576" s="32" t="str">
        <f>IFERROR(VLOOKUP(F576,'Taxonomy Sheet'!$E$3:$F$5,2,FALSE),"")</f>
        <v/>
      </c>
      <c r="M576" s="32" t="str">
        <f t="shared" si="8"/>
        <v/>
      </c>
    </row>
    <row r="577" spans="11:13" ht="14.25" customHeight="1" x14ac:dyDescent="0.35">
      <c r="K577" s="32" t="str">
        <f>IFERROR(VLOOKUP(G577,'Taxonomy Sheet'!$A$3:$C$6,2,FALSE),"")</f>
        <v/>
      </c>
      <c r="L577" s="32" t="str">
        <f>IFERROR(VLOOKUP(F577,'Taxonomy Sheet'!$E$3:$F$5,2,FALSE),"")</f>
        <v/>
      </c>
      <c r="M577" s="32" t="str">
        <f t="shared" si="8"/>
        <v/>
      </c>
    </row>
    <row r="578" spans="11:13" ht="14.25" customHeight="1" x14ac:dyDescent="0.35">
      <c r="K578" s="32" t="str">
        <f>IFERROR(VLOOKUP(G578,'Taxonomy Sheet'!$A$3:$C$6,2,FALSE),"")</f>
        <v/>
      </c>
      <c r="L578" s="32" t="str">
        <f>IFERROR(VLOOKUP(F578,'Taxonomy Sheet'!$E$3:$F$5,2,FALSE),"")</f>
        <v/>
      </c>
      <c r="M578" s="32" t="str">
        <f t="shared" si="8"/>
        <v/>
      </c>
    </row>
    <row r="579" spans="11:13" ht="14.25" customHeight="1" x14ac:dyDescent="0.35">
      <c r="K579" s="32" t="str">
        <f>IFERROR(VLOOKUP(G579,'Taxonomy Sheet'!$A$3:$C$6,2,FALSE),"")</f>
        <v/>
      </c>
      <c r="L579" s="32" t="str">
        <f>IFERROR(VLOOKUP(F579,'Taxonomy Sheet'!$E$3:$F$5,2,FALSE),"")</f>
        <v/>
      </c>
      <c r="M579" s="32" t="str">
        <f t="shared" si="8"/>
        <v/>
      </c>
    </row>
    <row r="580" spans="11:13" ht="14.25" customHeight="1" x14ac:dyDescent="0.35">
      <c r="K580" s="32" t="str">
        <f>IFERROR(VLOOKUP(G580,'Taxonomy Sheet'!$A$3:$C$6,2,FALSE),"")</f>
        <v/>
      </c>
      <c r="L580" s="32" t="str">
        <f>IFERROR(VLOOKUP(F580,'Taxonomy Sheet'!$E$3:$F$5,2,FALSE),"")</f>
        <v/>
      </c>
      <c r="M580" s="32" t="str">
        <f t="shared" si="8"/>
        <v/>
      </c>
    </row>
    <row r="581" spans="11:13" ht="14.25" customHeight="1" x14ac:dyDescent="0.35">
      <c r="K581" s="32" t="str">
        <f>IFERROR(VLOOKUP(G581,'Taxonomy Sheet'!$A$3:$C$6,2,FALSE),"")</f>
        <v/>
      </c>
      <c r="L581" s="32" t="str">
        <f>IFERROR(VLOOKUP(F581,'Taxonomy Sheet'!$E$3:$F$5,2,FALSE),"")</f>
        <v/>
      </c>
      <c r="M581" s="32" t="str">
        <f t="shared" si="8"/>
        <v/>
      </c>
    </row>
    <row r="582" spans="11:13" ht="14.25" customHeight="1" x14ac:dyDescent="0.35">
      <c r="K582" s="32" t="str">
        <f>IFERROR(VLOOKUP(G582,'Taxonomy Sheet'!$A$3:$C$6,2,FALSE),"")</f>
        <v/>
      </c>
      <c r="L582" s="32" t="str">
        <f>IFERROR(VLOOKUP(F582,'Taxonomy Sheet'!$E$3:$F$5,2,FALSE),"")</f>
        <v/>
      </c>
      <c r="M582" s="32" t="str">
        <f t="shared" si="8"/>
        <v/>
      </c>
    </row>
    <row r="583" spans="11:13" ht="14.25" customHeight="1" x14ac:dyDescent="0.35">
      <c r="K583" s="32" t="str">
        <f>IFERROR(VLOOKUP(G583,'Taxonomy Sheet'!$A$3:$C$6,2,FALSE),"")</f>
        <v/>
      </c>
      <c r="L583" s="32" t="str">
        <f>IFERROR(VLOOKUP(F583,'Taxonomy Sheet'!$E$3:$F$5,2,FALSE),"")</f>
        <v/>
      </c>
      <c r="M583" s="32" t="str">
        <f t="shared" si="8"/>
        <v/>
      </c>
    </row>
    <row r="584" spans="11:13" ht="14.25" customHeight="1" x14ac:dyDescent="0.35">
      <c r="K584" s="32" t="str">
        <f>IFERROR(VLOOKUP(G584,'Taxonomy Sheet'!$A$3:$C$6,2,FALSE),"")</f>
        <v/>
      </c>
      <c r="L584" s="32" t="str">
        <f>IFERROR(VLOOKUP(F584,'Taxonomy Sheet'!$E$3:$F$5,2,FALSE),"")</f>
        <v/>
      </c>
      <c r="M584" s="32" t="str">
        <f t="shared" si="8"/>
        <v/>
      </c>
    </row>
    <row r="585" spans="11:13" ht="14.25" customHeight="1" x14ac:dyDescent="0.35">
      <c r="K585" s="32" t="str">
        <f>IFERROR(VLOOKUP(G585,'Taxonomy Sheet'!$A$3:$C$6,2,FALSE),"")</f>
        <v/>
      </c>
      <c r="L585" s="32" t="str">
        <f>IFERROR(VLOOKUP(F585,'Taxonomy Sheet'!$E$3:$F$5,2,FALSE),"")</f>
        <v/>
      </c>
      <c r="M585" s="32" t="str">
        <f t="shared" si="8"/>
        <v/>
      </c>
    </row>
    <row r="586" spans="11:13" ht="14.25" customHeight="1" x14ac:dyDescent="0.35">
      <c r="K586" s="32" t="str">
        <f>IFERROR(VLOOKUP(G586,'Taxonomy Sheet'!$A$3:$C$6,2,FALSE),"")</f>
        <v/>
      </c>
      <c r="L586" s="32" t="str">
        <f>IFERROR(VLOOKUP(F586,'Taxonomy Sheet'!$E$3:$F$5,2,FALSE),"")</f>
        <v/>
      </c>
      <c r="M586" s="32" t="str">
        <f t="shared" si="8"/>
        <v/>
      </c>
    </row>
    <row r="587" spans="11:13" ht="14.25" customHeight="1" x14ac:dyDescent="0.35">
      <c r="K587" s="32" t="str">
        <f>IFERROR(VLOOKUP(G587,'Taxonomy Sheet'!$A$3:$C$6,2,FALSE),"")</f>
        <v/>
      </c>
      <c r="L587" s="32" t="str">
        <f>IFERROR(VLOOKUP(F587,'Taxonomy Sheet'!$E$3:$F$5,2,FALSE),"")</f>
        <v/>
      </c>
      <c r="M587" s="32" t="str">
        <f t="shared" si="8"/>
        <v/>
      </c>
    </row>
    <row r="588" spans="11:13" ht="14.25" customHeight="1" x14ac:dyDescent="0.35">
      <c r="K588" s="32" t="str">
        <f>IFERROR(VLOOKUP(G588,'Taxonomy Sheet'!$A$3:$C$6,2,FALSE),"")</f>
        <v/>
      </c>
      <c r="L588" s="32" t="str">
        <f>IFERROR(VLOOKUP(F588,'Taxonomy Sheet'!$E$3:$F$5,2,FALSE),"")</f>
        <v/>
      </c>
      <c r="M588" s="32" t="str">
        <f t="shared" si="8"/>
        <v/>
      </c>
    </row>
    <row r="589" spans="11:13" ht="14.25" customHeight="1" x14ac:dyDescent="0.35">
      <c r="K589" s="32" t="str">
        <f>IFERROR(VLOOKUP(G589,'Taxonomy Sheet'!$A$3:$C$6,2,FALSE),"")</f>
        <v/>
      </c>
      <c r="L589" s="32" t="str">
        <f>IFERROR(VLOOKUP(F589,'Taxonomy Sheet'!$E$3:$F$5,2,FALSE),"")</f>
        <v/>
      </c>
      <c r="M589" s="32" t="str">
        <f t="shared" ref="M589:M652" si="9">IF(OR(K589="",L589=""),"",K589*L589)</f>
        <v/>
      </c>
    </row>
    <row r="590" spans="11:13" ht="14.25" customHeight="1" x14ac:dyDescent="0.35">
      <c r="K590" s="32" t="str">
        <f>IFERROR(VLOOKUP(G590,'Taxonomy Sheet'!$A$3:$C$6,2,FALSE),"")</f>
        <v/>
      </c>
      <c r="L590" s="32" t="str">
        <f>IFERROR(VLOOKUP(F590,'Taxonomy Sheet'!$E$3:$F$5,2,FALSE),"")</f>
        <v/>
      </c>
      <c r="M590" s="32" t="str">
        <f t="shared" si="9"/>
        <v/>
      </c>
    </row>
    <row r="591" spans="11:13" ht="14.25" customHeight="1" x14ac:dyDescent="0.35">
      <c r="K591" s="32" t="str">
        <f>IFERROR(VLOOKUP(G591,'Taxonomy Sheet'!$A$3:$C$6,2,FALSE),"")</f>
        <v/>
      </c>
      <c r="L591" s="32" t="str">
        <f>IFERROR(VLOOKUP(F591,'Taxonomy Sheet'!$E$3:$F$5,2,FALSE),"")</f>
        <v/>
      </c>
      <c r="M591" s="32" t="str">
        <f t="shared" si="9"/>
        <v/>
      </c>
    </row>
    <row r="592" spans="11:13" ht="14.25" customHeight="1" x14ac:dyDescent="0.35">
      <c r="K592" s="32" t="str">
        <f>IFERROR(VLOOKUP(G592,'Taxonomy Sheet'!$A$3:$C$6,2,FALSE),"")</f>
        <v/>
      </c>
      <c r="L592" s="32" t="str">
        <f>IFERROR(VLOOKUP(F592,'Taxonomy Sheet'!$E$3:$F$5,2,FALSE),"")</f>
        <v/>
      </c>
      <c r="M592" s="32" t="str">
        <f t="shared" si="9"/>
        <v/>
      </c>
    </row>
    <row r="593" spans="11:13" ht="14.25" customHeight="1" x14ac:dyDescent="0.35">
      <c r="K593" s="32" t="str">
        <f>IFERROR(VLOOKUP(G593,'Taxonomy Sheet'!$A$3:$C$6,2,FALSE),"")</f>
        <v/>
      </c>
      <c r="L593" s="32" t="str">
        <f>IFERROR(VLOOKUP(F593,'Taxonomy Sheet'!$E$3:$F$5,2,FALSE),"")</f>
        <v/>
      </c>
      <c r="M593" s="32" t="str">
        <f t="shared" si="9"/>
        <v/>
      </c>
    </row>
    <row r="594" spans="11:13" ht="14.25" customHeight="1" x14ac:dyDescent="0.35">
      <c r="K594" s="32" t="str">
        <f>IFERROR(VLOOKUP(G594,'Taxonomy Sheet'!$A$3:$C$6,2,FALSE),"")</f>
        <v/>
      </c>
      <c r="L594" s="32" t="str">
        <f>IFERROR(VLOOKUP(F594,'Taxonomy Sheet'!$E$3:$F$5,2,FALSE),"")</f>
        <v/>
      </c>
      <c r="M594" s="32" t="str">
        <f t="shared" si="9"/>
        <v/>
      </c>
    </row>
    <row r="595" spans="11:13" ht="14.25" customHeight="1" x14ac:dyDescent="0.35">
      <c r="K595" s="32" t="str">
        <f>IFERROR(VLOOKUP(G595,'Taxonomy Sheet'!$A$3:$C$6,2,FALSE),"")</f>
        <v/>
      </c>
      <c r="L595" s="32" t="str">
        <f>IFERROR(VLOOKUP(F595,'Taxonomy Sheet'!$E$3:$F$5,2,FALSE),"")</f>
        <v/>
      </c>
      <c r="M595" s="32" t="str">
        <f t="shared" si="9"/>
        <v/>
      </c>
    </row>
    <row r="596" spans="11:13" ht="14.25" customHeight="1" x14ac:dyDescent="0.35">
      <c r="K596" s="32" t="str">
        <f>IFERROR(VLOOKUP(G596,'Taxonomy Sheet'!$A$3:$C$6,2,FALSE),"")</f>
        <v/>
      </c>
      <c r="L596" s="32" t="str">
        <f>IFERROR(VLOOKUP(F596,'Taxonomy Sheet'!$E$3:$F$5,2,FALSE),"")</f>
        <v/>
      </c>
      <c r="M596" s="32" t="str">
        <f t="shared" si="9"/>
        <v/>
      </c>
    </row>
    <row r="597" spans="11:13" ht="14.25" customHeight="1" x14ac:dyDescent="0.35">
      <c r="K597" s="32" t="str">
        <f>IFERROR(VLOOKUP(G597,'Taxonomy Sheet'!$A$3:$C$6,2,FALSE),"")</f>
        <v/>
      </c>
      <c r="L597" s="32" t="str">
        <f>IFERROR(VLOOKUP(F597,'Taxonomy Sheet'!$E$3:$F$5,2,FALSE),"")</f>
        <v/>
      </c>
      <c r="M597" s="32" t="str">
        <f t="shared" si="9"/>
        <v/>
      </c>
    </row>
    <row r="598" spans="11:13" ht="14.25" customHeight="1" x14ac:dyDescent="0.35">
      <c r="K598" s="32" t="str">
        <f>IFERROR(VLOOKUP(G598,'Taxonomy Sheet'!$A$3:$C$6,2,FALSE),"")</f>
        <v/>
      </c>
      <c r="L598" s="32" t="str">
        <f>IFERROR(VLOOKUP(F598,'Taxonomy Sheet'!$E$3:$F$5,2,FALSE),"")</f>
        <v/>
      </c>
      <c r="M598" s="32" t="str">
        <f t="shared" si="9"/>
        <v/>
      </c>
    </row>
    <row r="599" spans="11:13" ht="14.25" customHeight="1" x14ac:dyDescent="0.35">
      <c r="K599" s="32" t="str">
        <f>IFERROR(VLOOKUP(G599,'Taxonomy Sheet'!$A$3:$C$6,2,FALSE),"")</f>
        <v/>
      </c>
      <c r="L599" s="32" t="str">
        <f>IFERROR(VLOOKUP(F599,'Taxonomy Sheet'!$E$3:$F$5,2,FALSE),"")</f>
        <v/>
      </c>
      <c r="M599" s="32" t="str">
        <f t="shared" si="9"/>
        <v/>
      </c>
    </row>
    <row r="600" spans="11:13" ht="14.25" customHeight="1" x14ac:dyDescent="0.35">
      <c r="K600" s="32" t="str">
        <f>IFERROR(VLOOKUP(G600,'Taxonomy Sheet'!$A$3:$C$6,2,FALSE),"")</f>
        <v/>
      </c>
      <c r="L600" s="32" t="str">
        <f>IFERROR(VLOOKUP(F600,'Taxonomy Sheet'!$E$3:$F$5,2,FALSE),"")</f>
        <v/>
      </c>
      <c r="M600" s="32" t="str">
        <f t="shared" si="9"/>
        <v/>
      </c>
    </row>
    <row r="601" spans="11:13" ht="14.25" customHeight="1" x14ac:dyDescent="0.35">
      <c r="K601" s="32" t="str">
        <f>IFERROR(VLOOKUP(G601,'Taxonomy Sheet'!$A$3:$C$6,2,FALSE),"")</f>
        <v/>
      </c>
      <c r="L601" s="32" t="str">
        <f>IFERROR(VLOOKUP(F601,'Taxonomy Sheet'!$E$3:$F$5,2,FALSE),"")</f>
        <v/>
      </c>
      <c r="M601" s="32" t="str">
        <f t="shared" si="9"/>
        <v/>
      </c>
    </row>
    <row r="602" spans="11:13" ht="14.25" customHeight="1" x14ac:dyDescent="0.35">
      <c r="K602" s="32" t="str">
        <f>IFERROR(VLOOKUP(G602,'Taxonomy Sheet'!$A$3:$C$6,2,FALSE),"")</f>
        <v/>
      </c>
      <c r="L602" s="32" t="str">
        <f>IFERROR(VLOOKUP(F602,'Taxonomy Sheet'!$E$3:$F$5,2,FALSE),"")</f>
        <v/>
      </c>
      <c r="M602" s="32" t="str">
        <f t="shared" si="9"/>
        <v/>
      </c>
    </row>
    <row r="603" spans="11:13" ht="14.25" customHeight="1" x14ac:dyDescent="0.35">
      <c r="K603" s="32" t="str">
        <f>IFERROR(VLOOKUP(G603,'Taxonomy Sheet'!$A$3:$C$6,2,FALSE),"")</f>
        <v/>
      </c>
      <c r="L603" s="32" t="str">
        <f>IFERROR(VLOOKUP(F603,'Taxonomy Sheet'!$E$3:$F$5,2,FALSE),"")</f>
        <v/>
      </c>
      <c r="M603" s="32" t="str">
        <f t="shared" si="9"/>
        <v/>
      </c>
    </row>
    <row r="604" spans="11:13" ht="14.25" customHeight="1" x14ac:dyDescent="0.35">
      <c r="K604" s="32" t="str">
        <f>IFERROR(VLOOKUP(G604,'Taxonomy Sheet'!$A$3:$C$6,2,FALSE),"")</f>
        <v/>
      </c>
      <c r="L604" s="32" t="str">
        <f>IFERROR(VLOOKUP(F604,'Taxonomy Sheet'!$E$3:$F$5,2,FALSE),"")</f>
        <v/>
      </c>
      <c r="M604" s="32" t="str">
        <f t="shared" si="9"/>
        <v/>
      </c>
    </row>
    <row r="605" spans="11:13" ht="14.25" customHeight="1" x14ac:dyDescent="0.35">
      <c r="K605" s="32" t="str">
        <f>IFERROR(VLOOKUP(G605,'Taxonomy Sheet'!$A$3:$C$6,2,FALSE),"")</f>
        <v/>
      </c>
      <c r="L605" s="32" t="str">
        <f>IFERROR(VLOOKUP(F605,'Taxonomy Sheet'!$E$3:$F$5,2,FALSE),"")</f>
        <v/>
      </c>
      <c r="M605" s="32" t="str">
        <f t="shared" si="9"/>
        <v/>
      </c>
    </row>
    <row r="606" spans="11:13" ht="14.25" customHeight="1" x14ac:dyDescent="0.35">
      <c r="K606" s="32" t="str">
        <f>IFERROR(VLOOKUP(G606,'Taxonomy Sheet'!$A$3:$C$6,2,FALSE),"")</f>
        <v/>
      </c>
      <c r="L606" s="32" t="str">
        <f>IFERROR(VLOOKUP(F606,'Taxonomy Sheet'!$E$3:$F$5,2,FALSE),"")</f>
        <v/>
      </c>
      <c r="M606" s="32" t="str">
        <f t="shared" si="9"/>
        <v/>
      </c>
    </row>
    <row r="607" spans="11:13" ht="14.25" customHeight="1" x14ac:dyDescent="0.35">
      <c r="K607" s="32" t="str">
        <f>IFERROR(VLOOKUP(G607,'Taxonomy Sheet'!$A$3:$C$6,2,FALSE),"")</f>
        <v/>
      </c>
      <c r="L607" s="32" t="str">
        <f>IFERROR(VLOOKUP(F607,'Taxonomy Sheet'!$E$3:$F$5,2,FALSE),"")</f>
        <v/>
      </c>
      <c r="M607" s="32" t="str">
        <f t="shared" si="9"/>
        <v/>
      </c>
    </row>
    <row r="608" spans="11:13" ht="14.25" customHeight="1" x14ac:dyDescent="0.35">
      <c r="K608" s="32" t="str">
        <f>IFERROR(VLOOKUP(G608,'Taxonomy Sheet'!$A$3:$C$6,2,FALSE),"")</f>
        <v/>
      </c>
      <c r="L608" s="32" t="str">
        <f>IFERROR(VLOOKUP(F608,'Taxonomy Sheet'!$E$3:$F$5,2,FALSE),"")</f>
        <v/>
      </c>
      <c r="M608" s="32" t="str">
        <f t="shared" si="9"/>
        <v/>
      </c>
    </row>
    <row r="609" spans="11:13" ht="14.25" customHeight="1" x14ac:dyDescent="0.35">
      <c r="K609" s="32" t="str">
        <f>IFERROR(VLOOKUP(G609,'Taxonomy Sheet'!$A$3:$C$6,2,FALSE),"")</f>
        <v/>
      </c>
      <c r="L609" s="32" t="str">
        <f>IFERROR(VLOOKUP(F609,'Taxonomy Sheet'!$E$3:$F$5,2,FALSE),"")</f>
        <v/>
      </c>
      <c r="M609" s="32" t="str">
        <f t="shared" si="9"/>
        <v/>
      </c>
    </row>
    <row r="610" spans="11:13" ht="14.25" customHeight="1" x14ac:dyDescent="0.35">
      <c r="K610" s="32" t="str">
        <f>IFERROR(VLOOKUP(G610,'Taxonomy Sheet'!$A$3:$C$6,2,FALSE),"")</f>
        <v/>
      </c>
      <c r="L610" s="32" t="str">
        <f>IFERROR(VLOOKUP(F610,'Taxonomy Sheet'!$E$3:$F$5,2,FALSE),"")</f>
        <v/>
      </c>
      <c r="M610" s="32" t="str">
        <f t="shared" si="9"/>
        <v/>
      </c>
    </row>
    <row r="611" spans="11:13" ht="14.25" customHeight="1" x14ac:dyDescent="0.35">
      <c r="K611" s="32" t="str">
        <f>IFERROR(VLOOKUP(G611,'Taxonomy Sheet'!$A$3:$C$6,2,FALSE),"")</f>
        <v/>
      </c>
      <c r="L611" s="32" t="str">
        <f>IFERROR(VLOOKUP(F611,'Taxonomy Sheet'!$E$3:$F$5,2,FALSE),"")</f>
        <v/>
      </c>
      <c r="M611" s="32" t="str">
        <f t="shared" si="9"/>
        <v/>
      </c>
    </row>
    <row r="612" spans="11:13" ht="14.25" customHeight="1" x14ac:dyDescent="0.35">
      <c r="K612" s="32" t="str">
        <f>IFERROR(VLOOKUP(G612,'Taxonomy Sheet'!$A$3:$C$6,2,FALSE),"")</f>
        <v/>
      </c>
      <c r="L612" s="32" t="str">
        <f>IFERROR(VLOOKUP(F612,'Taxonomy Sheet'!$E$3:$F$5,2,FALSE),"")</f>
        <v/>
      </c>
      <c r="M612" s="32" t="str">
        <f t="shared" si="9"/>
        <v/>
      </c>
    </row>
    <row r="613" spans="11:13" ht="14.25" customHeight="1" x14ac:dyDescent="0.35">
      <c r="K613" s="32" t="str">
        <f>IFERROR(VLOOKUP(G613,'Taxonomy Sheet'!$A$3:$C$6,2,FALSE),"")</f>
        <v/>
      </c>
      <c r="L613" s="32" t="str">
        <f>IFERROR(VLOOKUP(F613,'Taxonomy Sheet'!$E$3:$F$5,2,FALSE),"")</f>
        <v/>
      </c>
      <c r="M613" s="32" t="str">
        <f t="shared" si="9"/>
        <v/>
      </c>
    </row>
    <row r="614" spans="11:13" ht="14.25" customHeight="1" x14ac:dyDescent="0.35">
      <c r="K614" s="32" t="str">
        <f>IFERROR(VLOOKUP(G614,'Taxonomy Sheet'!$A$3:$C$6,2,FALSE),"")</f>
        <v/>
      </c>
      <c r="L614" s="32" t="str">
        <f>IFERROR(VLOOKUP(F614,'Taxonomy Sheet'!$E$3:$F$5,2,FALSE),"")</f>
        <v/>
      </c>
      <c r="M614" s="32" t="str">
        <f t="shared" si="9"/>
        <v/>
      </c>
    </row>
    <row r="615" spans="11:13" ht="14.25" customHeight="1" x14ac:dyDescent="0.35">
      <c r="K615" s="32" t="str">
        <f>IFERROR(VLOOKUP(G615,'Taxonomy Sheet'!$A$3:$C$6,2,FALSE),"")</f>
        <v/>
      </c>
      <c r="L615" s="32" t="str">
        <f>IFERROR(VLOOKUP(F615,'Taxonomy Sheet'!$E$3:$F$5,2,FALSE),"")</f>
        <v/>
      </c>
      <c r="M615" s="32" t="str">
        <f t="shared" si="9"/>
        <v/>
      </c>
    </row>
    <row r="616" spans="11:13" ht="14.25" customHeight="1" x14ac:dyDescent="0.35">
      <c r="K616" s="32" t="str">
        <f>IFERROR(VLOOKUP(G616,'Taxonomy Sheet'!$A$3:$C$6,2,FALSE),"")</f>
        <v/>
      </c>
      <c r="L616" s="32" t="str">
        <f>IFERROR(VLOOKUP(F616,'Taxonomy Sheet'!$E$3:$F$5,2,FALSE),"")</f>
        <v/>
      </c>
      <c r="M616" s="32" t="str">
        <f t="shared" si="9"/>
        <v/>
      </c>
    </row>
    <row r="617" spans="11:13" ht="14.25" customHeight="1" x14ac:dyDescent="0.35">
      <c r="K617" s="32" t="str">
        <f>IFERROR(VLOOKUP(G617,'Taxonomy Sheet'!$A$3:$C$6,2,FALSE),"")</f>
        <v/>
      </c>
      <c r="L617" s="32" t="str">
        <f>IFERROR(VLOOKUP(F617,'Taxonomy Sheet'!$E$3:$F$5,2,FALSE),"")</f>
        <v/>
      </c>
      <c r="M617" s="32" t="str">
        <f t="shared" si="9"/>
        <v/>
      </c>
    </row>
    <row r="618" spans="11:13" ht="14.25" customHeight="1" x14ac:dyDescent="0.35">
      <c r="K618" s="32" t="str">
        <f>IFERROR(VLOOKUP(G618,'Taxonomy Sheet'!$A$3:$C$6,2,FALSE),"")</f>
        <v/>
      </c>
      <c r="L618" s="32" t="str">
        <f>IFERROR(VLOOKUP(F618,'Taxonomy Sheet'!$E$3:$F$5,2,FALSE),"")</f>
        <v/>
      </c>
      <c r="M618" s="32" t="str">
        <f t="shared" si="9"/>
        <v/>
      </c>
    </row>
    <row r="619" spans="11:13" ht="14.25" customHeight="1" x14ac:dyDescent="0.35">
      <c r="K619" s="32" t="str">
        <f>IFERROR(VLOOKUP(G619,'Taxonomy Sheet'!$A$3:$C$6,2,FALSE),"")</f>
        <v/>
      </c>
      <c r="L619" s="32" t="str">
        <f>IFERROR(VLOOKUP(F619,'Taxonomy Sheet'!$E$3:$F$5,2,FALSE),"")</f>
        <v/>
      </c>
      <c r="M619" s="32" t="str">
        <f t="shared" si="9"/>
        <v/>
      </c>
    </row>
    <row r="620" spans="11:13" ht="14.25" customHeight="1" x14ac:dyDescent="0.35">
      <c r="K620" s="32" t="str">
        <f>IFERROR(VLOOKUP(G620,'Taxonomy Sheet'!$A$3:$C$6,2,FALSE),"")</f>
        <v/>
      </c>
      <c r="L620" s="32" t="str">
        <f>IFERROR(VLOOKUP(F620,'Taxonomy Sheet'!$E$3:$F$5,2,FALSE),"")</f>
        <v/>
      </c>
      <c r="M620" s="32" t="str">
        <f t="shared" si="9"/>
        <v/>
      </c>
    </row>
    <row r="621" spans="11:13" ht="14.25" customHeight="1" x14ac:dyDescent="0.35">
      <c r="K621" s="32" t="str">
        <f>IFERROR(VLOOKUP(G621,'Taxonomy Sheet'!$A$3:$C$6,2,FALSE),"")</f>
        <v/>
      </c>
      <c r="L621" s="32" t="str">
        <f>IFERROR(VLOOKUP(F621,'Taxonomy Sheet'!$E$3:$F$5,2,FALSE),"")</f>
        <v/>
      </c>
      <c r="M621" s="32" t="str">
        <f t="shared" si="9"/>
        <v/>
      </c>
    </row>
    <row r="622" spans="11:13" ht="14.25" customHeight="1" x14ac:dyDescent="0.35">
      <c r="K622" s="32" t="str">
        <f>IFERROR(VLOOKUP(G622,'Taxonomy Sheet'!$A$3:$C$6,2,FALSE),"")</f>
        <v/>
      </c>
      <c r="L622" s="32" t="str">
        <f>IFERROR(VLOOKUP(F622,'Taxonomy Sheet'!$E$3:$F$5,2,FALSE),"")</f>
        <v/>
      </c>
      <c r="M622" s="32" t="str">
        <f t="shared" si="9"/>
        <v/>
      </c>
    </row>
    <row r="623" spans="11:13" ht="14.25" customHeight="1" x14ac:dyDescent="0.35">
      <c r="K623" s="32" t="str">
        <f>IFERROR(VLOOKUP(G623,'Taxonomy Sheet'!$A$3:$C$6,2,FALSE),"")</f>
        <v/>
      </c>
      <c r="L623" s="32" t="str">
        <f>IFERROR(VLOOKUP(F623,'Taxonomy Sheet'!$E$3:$F$5,2,FALSE),"")</f>
        <v/>
      </c>
      <c r="M623" s="32" t="str">
        <f t="shared" si="9"/>
        <v/>
      </c>
    </row>
    <row r="624" spans="11:13" ht="14.25" customHeight="1" x14ac:dyDescent="0.35">
      <c r="K624" s="32" t="str">
        <f>IFERROR(VLOOKUP(G624,'Taxonomy Sheet'!$A$3:$C$6,2,FALSE),"")</f>
        <v/>
      </c>
      <c r="L624" s="32" t="str">
        <f>IFERROR(VLOOKUP(F624,'Taxonomy Sheet'!$E$3:$F$5,2,FALSE),"")</f>
        <v/>
      </c>
      <c r="M624" s="32" t="str">
        <f t="shared" si="9"/>
        <v/>
      </c>
    </row>
    <row r="625" spans="11:13" ht="14.25" customHeight="1" x14ac:dyDescent="0.35">
      <c r="K625" s="32" t="str">
        <f>IFERROR(VLOOKUP(G625,'Taxonomy Sheet'!$A$3:$C$6,2,FALSE),"")</f>
        <v/>
      </c>
      <c r="L625" s="32" t="str">
        <f>IFERROR(VLOOKUP(F625,'Taxonomy Sheet'!$E$3:$F$5,2,FALSE),"")</f>
        <v/>
      </c>
      <c r="M625" s="32" t="str">
        <f t="shared" si="9"/>
        <v/>
      </c>
    </row>
    <row r="626" spans="11:13" ht="14.25" customHeight="1" x14ac:dyDescent="0.35">
      <c r="K626" s="32" t="str">
        <f>IFERROR(VLOOKUP(G626,'Taxonomy Sheet'!$A$3:$C$6,2,FALSE),"")</f>
        <v/>
      </c>
      <c r="L626" s="32" t="str">
        <f>IFERROR(VLOOKUP(F626,'Taxonomy Sheet'!$E$3:$F$5,2,FALSE),"")</f>
        <v/>
      </c>
      <c r="M626" s="32" t="str">
        <f t="shared" si="9"/>
        <v/>
      </c>
    </row>
    <row r="627" spans="11:13" ht="14.25" customHeight="1" x14ac:dyDescent="0.35">
      <c r="K627" s="32" t="str">
        <f>IFERROR(VLOOKUP(G627,'Taxonomy Sheet'!$A$3:$C$6,2,FALSE),"")</f>
        <v/>
      </c>
      <c r="L627" s="32" t="str">
        <f>IFERROR(VLOOKUP(F627,'Taxonomy Sheet'!$E$3:$F$5,2,FALSE),"")</f>
        <v/>
      </c>
      <c r="M627" s="32" t="str">
        <f t="shared" si="9"/>
        <v/>
      </c>
    </row>
    <row r="628" spans="11:13" ht="14.25" customHeight="1" x14ac:dyDescent="0.35">
      <c r="K628" s="32" t="str">
        <f>IFERROR(VLOOKUP(G628,'Taxonomy Sheet'!$A$3:$C$6,2,FALSE),"")</f>
        <v/>
      </c>
      <c r="L628" s="32" t="str">
        <f>IFERROR(VLOOKUP(F628,'Taxonomy Sheet'!$E$3:$F$5,2,FALSE),"")</f>
        <v/>
      </c>
      <c r="M628" s="32" t="str">
        <f t="shared" si="9"/>
        <v/>
      </c>
    </row>
    <row r="629" spans="11:13" ht="14.25" customHeight="1" x14ac:dyDescent="0.35">
      <c r="K629" s="32" t="str">
        <f>IFERROR(VLOOKUP(G629,'Taxonomy Sheet'!$A$3:$C$6,2,FALSE),"")</f>
        <v/>
      </c>
      <c r="L629" s="32" t="str">
        <f>IFERROR(VLOOKUP(F629,'Taxonomy Sheet'!$E$3:$F$5,2,FALSE),"")</f>
        <v/>
      </c>
      <c r="M629" s="32" t="str">
        <f t="shared" si="9"/>
        <v/>
      </c>
    </row>
    <row r="630" spans="11:13" ht="14.25" customHeight="1" x14ac:dyDescent="0.35">
      <c r="K630" s="32" t="str">
        <f>IFERROR(VLOOKUP(G630,'Taxonomy Sheet'!$A$3:$C$6,2,FALSE),"")</f>
        <v/>
      </c>
      <c r="L630" s="32" t="str">
        <f>IFERROR(VLOOKUP(F630,'Taxonomy Sheet'!$E$3:$F$5,2,FALSE),"")</f>
        <v/>
      </c>
      <c r="M630" s="32" t="str">
        <f t="shared" si="9"/>
        <v/>
      </c>
    </row>
    <row r="631" spans="11:13" ht="14.25" customHeight="1" x14ac:dyDescent="0.35">
      <c r="K631" s="32" t="str">
        <f>IFERROR(VLOOKUP(G631,'Taxonomy Sheet'!$A$3:$C$6,2,FALSE),"")</f>
        <v/>
      </c>
      <c r="L631" s="32" t="str">
        <f>IFERROR(VLOOKUP(F631,'Taxonomy Sheet'!$E$3:$F$5,2,FALSE),"")</f>
        <v/>
      </c>
      <c r="M631" s="32" t="str">
        <f t="shared" si="9"/>
        <v/>
      </c>
    </row>
    <row r="632" spans="11:13" ht="14.25" customHeight="1" x14ac:dyDescent="0.35">
      <c r="K632" s="32" t="str">
        <f>IFERROR(VLOOKUP(G632,'Taxonomy Sheet'!$A$3:$C$6,2,FALSE),"")</f>
        <v/>
      </c>
      <c r="L632" s="32" t="str">
        <f>IFERROR(VLOOKUP(F632,'Taxonomy Sheet'!$E$3:$F$5,2,FALSE),"")</f>
        <v/>
      </c>
      <c r="M632" s="32" t="str">
        <f t="shared" si="9"/>
        <v/>
      </c>
    </row>
    <row r="633" spans="11:13" ht="14.25" customHeight="1" x14ac:dyDescent="0.35">
      <c r="K633" s="32" t="str">
        <f>IFERROR(VLOOKUP(G633,'Taxonomy Sheet'!$A$3:$C$6,2,FALSE),"")</f>
        <v/>
      </c>
      <c r="L633" s="32" t="str">
        <f>IFERROR(VLOOKUP(F633,'Taxonomy Sheet'!$E$3:$F$5,2,FALSE),"")</f>
        <v/>
      </c>
      <c r="M633" s="32" t="str">
        <f t="shared" si="9"/>
        <v/>
      </c>
    </row>
    <row r="634" spans="11:13" ht="14.25" customHeight="1" x14ac:dyDescent="0.35">
      <c r="K634" s="32" t="str">
        <f>IFERROR(VLOOKUP(G634,'Taxonomy Sheet'!$A$3:$C$6,2,FALSE),"")</f>
        <v/>
      </c>
      <c r="L634" s="32" t="str">
        <f>IFERROR(VLOOKUP(F634,'Taxonomy Sheet'!$E$3:$F$5,2,FALSE),"")</f>
        <v/>
      </c>
      <c r="M634" s="32" t="str">
        <f t="shared" si="9"/>
        <v/>
      </c>
    </row>
    <row r="635" spans="11:13" ht="14.25" customHeight="1" x14ac:dyDescent="0.35">
      <c r="K635" s="32" t="str">
        <f>IFERROR(VLOOKUP(G635,'Taxonomy Sheet'!$A$3:$C$6,2,FALSE),"")</f>
        <v/>
      </c>
      <c r="L635" s="32" t="str">
        <f>IFERROR(VLOOKUP(F635,'Taxonomy Sheet'!$E$3:$F$5,2,FALSE),"")</f>
        <v/>
      </c>
      <c r="M635" s="32" t="str">
        <f t="shared" si="9"/>
        <v/>
      </c>
    </row>
    <row r="636" spans="11:13" ht="14.25" customHeight="1" x14ac:dyDescent="0.35">
      <c r="K636" s="32" t="str">
        <f>IFERROR(VLOOKUP(G636,'Taxonomy Sheet'!$A$3:$C$6,2,FALSE),"")</f>
        <v/>
      </c>
      <c r="L636" s="32" t="str">
        <f>IFERROR(VLOOKUP(F636,'Taxonomy Sheet'!$E$3:$F$5,2,FALSE),"")</f>
        <v/>
      </c>
      <c r="M636" s="32" t="str">
        <f t="shared" si="9"/>
        <v/>
      </c>
    </row>
    <row r="637" spans="11:13" ht="14.25" customHeight="1" x14ac:dyDescent="0.35">
      <c r="K637" s="32" t="str">
        <f>IFERROR(VLOOKUP(G637,'Taxonomy Sheet'!$A$3:$C$6,2,FALSE),"")</f>
        <v/>
      </c>
      <c r="L637" s="32" t="str">
        <f>IFERROR(VLOOKUP(F637,'Taxonomy Sheet'!$E$3:$F$5,2,FALSE),"")</f>
        <v/>
      </c>
      <c r="M637" s="32" t="str">
        <f t="shared" si="9"/>
        <v/>
      </c>
    </row>
    <row r="638" spans="11:13" ht="14.25" customHeight="1" x14ac:dyDescent="0.35">
      <c r="K638" s="32" t="str">
        <f>IFERROR(VLOOKUP(G638,'Taxonomy Sheet'!$A$3:$C$6,2,FALSE),"")</f>
        <v/>
      </c>
      <c r="L638" s="32" t="str">
        <f>IFERROR(VLOOKUP(F638,'Taxonomy Sheet'!$E$3:$F$5,2,FALSE),"")</f>
        <v/>
      </c>
      <c r="M638" s="32" t="str">
        <f t="shared" si="9"/>
        <v/>
      </c>
    </row>
    <row r="639" spans="11:13" ht="14.25" customHeight="1" x14ac:dyDescent="0.35">
      <c r="K639" s="32" t="str">
        <f>IFERROR(VLOOKUP(G639,'Taxonomy Sheet'!$A$3:$C$6,2,FALSE),"")</f>
        <v/>
      </c>
      <c r="L639" s="32" t="str">
        <f>IFERROR(VLOOKUP(F639,'Taxonomy Sheet'!$E$3:$F$5,2,FALSE),"")</f>
        <v/>
      </c>
      <c r="M639" s="32" t="str">
        <f t="shared" si="9"/>
        <v/>
      </c>
    </row>
    <row r="640" spans="11:13" ht="14.25" customHeight="1" x14ac:dyDescent="0.35">
      <c r="K640" s="32" t="str">
        <f>IFERROR(VLOOKUP(G640,'Taxonomy Sheet'!$A$3:$C$6,2,FALSE),"")</f>
        <v/>
      </c>
      <c r="L640" s="32" t="str">
        <f>IFERROR(VLOOKUP(F640,'Taxonomy Sheet'!$E$3:$F$5,2,FALSE),"")</f>
        <v/>
      </c>
      <c r="M640" s="32" t="str">
        <f t="shared" si="9"/>
        <v/>
      </c>
    </row>
    <row r="641" spans="11:13" ht="14.25" customHeight="1" x14ac:dyDescent="0.35">
      <c r="K641" s="32" t="str">
        <f>IFERROR(VLOOKUP(G641,'Taxonomy Sheet'!$A$3:$C$6,2,FALSE),"")</f>
        <v/>
      </c>
      <c r="L641" s="32" t="str">
        <f>IFERROR(VLOOKUP(F641,'Taxonomy Sheet'!$E$3:$F$5,2,FALSE),"")</f>
        <v/>
      </c>
      <c r="M641" s="32" t="str">
        <f t="shared" si="9"/>
        <v/>
      </c>
    </row>
    <row r="642" spans="11:13" ht="14.25" customHeight="1" x14ac:dyDescent="0.35">
      <c r="K642" s="32" t="str">
        <f>IFERROR(VLOOKUP(G642,'Taxonomy Sheet'!$A$3:$C$6,2,FALSE),"")</f>
        <v/>
      </c>
      <c r="L642" s="32" t="str">
        <f>IFERROR(VLOOKUP(F642,'Taxonomy Sheet'!$E$3:$F$5,2,FALSE),"")</f>
        <v/>
      </c>
      <c r="M642" s="32" t="str">
        <f t="shared" si="9"/>
        <v/>
      </c>
    </row>
    <row r="643" spans="11:13" ht="14.25" customHeight="1" x14ac:dyDescent="0.35">
      <c r="K643" s="32" t="str">
        <f>IFERROR(VLOOKUP(G643,'Taxonomy Sheet'!$A$3:$C$6,2,FALSE),"")</f>
        <v/>
      </c>
      <c r="L643" s="32" t="str">
        <f>IFERROR(VLOOKUP(F643,'Taxonomy Sheet'!$E$3:$F$5,2,FALSE),"")</f>
        <v/>
      </c>
      <c r="M643" s="32" t="str">
        <f t="shared" si="9"/>
        <v/>
      </c>
    </row>
    <row r="644" spans="11:13" ht="14.25" customHeight="1" x14ac:dyDescent="0.35">
      <c r="K644" s="32" t="str">
        <f>IFERROR(VLOOKUP(G644,'Taxonomy Sheet'!$A$3:$C$6,2,FALSE),"")</f>
        <v/>
      </c>
      <c r="L644" s="32" t="str">
        <f>IFERROR(VLOOKUP(F644,'Taxonomy Sheet'!$E$3:$F$5,2,FALSE),"")</f>
        <v/>
      </c>
      <c r="M644" s="32" t="str">
        <f t="shared" si="9"/>
        <v/>
      </c>
    </row>
    <row r="645" spans="11:13" ht="14.25" customHeight="1" x14ac:dyDescent="0.35">
      <c r="K645" s="32" t="str">
        <f>IFERROR(VLOOKUP(G645,'Taxonomy Sheet'!$A$3:$C$6,2,FALSE),"")</f>
        <v/>
      </c>
      <c r="L645" s="32" t="str">
        <f>IFERROR(VLOOKUP(F645,'Taxonomy Sheet'!$E$3:$F$5,2,FALSE),"")</f>
        <v/>
      </c>
      <c r="M645" s="32" t="str">
        <f t="shared" si="9"/>
        <v/>
      </c>
    </row>
    <row r="646" spans="11:13" ht="14.25" customHeight="1" x14ac:dyDescent="0.35">
      <c r="K646" s="32" t="str">
        <f>IFERROR(VLOOKUP(G646,'Taxonomy Sheet'!$A$3:$C$6,2,FALSE),"")</f>
        <v/>
      </c>
      <c r="L646" s="32" t="str">
        <f>IFERROR(VLOOKUP(F646,'Taxonomy Sheet'!$E$3:$F$5,2,FALSE),"")</f>
        <v/>
      </c>
      <c r="M646" s="32" t="str">
        <f t="shared" si="9"/>
        <v/>
      </c>
    </row>
    <row r="647" spans="11:13" ht="14.25" customHeight="1" x14ac:dyDescent="0.35">
      <c r="K647" s="32" t="str">
        <f>IFERROR(VLOOKUP(G647,'Taxonomy Sheet'!$A$3:$C$6,2,FALSE),"")</f>
        <v/>
      </c>
      <c r="L647" s="32" t="str">
        <f>IFERROR(VLOOKUP(F647,'Taxonomy Sheet'!$E$3:$F$5,2,FALSE),"")</f>
        <v/>
      </c>
      <c r="M647" s="32" t="str">
        <f t="shared" si="9"/>
        <v/>
      </c>
    </row>
    <row r="648" spans="11:13" ht="14.25" customHeight="1" x14ac:dyDescent="0.35">
      <c r="K648" s="32" t="str">
        <f>IFERROR(VLOOKUP(G648,'Taxonomy Sheet'!$A$3:$C$6,2,FALSE),"")</f>
        <v/>
      </c>
      <c r="L648" s="32" t="str">
        <f>IFERROR(VLOOKUP(F648,'Taxonomy Sheet'!$E$3:$F$5,2,FALSE),"")</f>
        <v/>
      </c>
      <c r="M648" s="32" t="str">
        <f t="shared" si="9"/>
        <v/>
      </c>
    </row>
    <row r="649" spans="11:13" ht="14.25" customHeight="1" x14ac:dyDescent="0.35">
      <c r="K649" s="32" t="str">
        <f>IFERROR(VLOOKUP(G649,'Taxonomy Sheet'!$A$3:$C$6,2,FALSE),"")</f>
        <v/>
      </c>
      <c r="L649" s="32" t="str">
        <f>IFERROR(VLOOKUP(F649,'Taxonomy Sheet'!$E$3:$F$5,2,FALSE),"")</f>
        <v/>
      </c>
      <c r="M649" s="32" t="str">
        <f t="shared" si="9"/>
        <v/>
      </c>
    </row>
    <row r="650" spans="11:13" ht="14.25" customHeight="1" x14ac:dyDescent="0.35">
      <c r="K650" s="32" t="str">
        <f>IFERROR(VLOOKUP(G650,'Taxonomy Sheet'!$A$3:$C$6,2,FALSE),"")</f>
        <v/>
      </c>
      <c r="L650" s="32" t="str">
        <f>IFERROR(VLOOKUP(F650,'Taxonomy Sheet'!$E$3:$F$5,2,FALSE),"")</f>
        <v/>
      </c>
      <c r="M650" s="32" t="str">
        <f t="shared" si="9"/>
        <v/>
      </c>
    </row>
    <row r="651" spans="11:13" ht="14.25" customHeight="1" x14ac:dyDescent="0.35">
      <c r="K651" s="32" t="str">
        <f>IFERROR(VLOOKUP(G651,'Taxonomy Sheet'!$A$3:$C$6,2,FALSE),"")</f>
        <v/>
      </c>
      <c r="L651" s="32" t="str">
        <f>IFERROR(VLOOKUP(F651,'Taxonomy Sheet'!$E$3:$F$5,2,FALSE),"")</f>
        <v/>
      </c>
      <c r="M651" s="32" t="str">
        <f t="shared" si="9"/>
        <v/>
      </c>
    </row>
    <row r="652" spans="11:13" ht="14.25" customHeight="1" x14ac:dyDescent="0.35">
      <c r="K652" s="32" t="str">
        <f>IFERROR(VLOOKUP(G652,'Taxonomy Sheet'!$A$3:$C$6,2,FALSE),"")</f>
        <v/>
      </c>
      <c r="L652" s="32" t="str">
        <f>IFERROR(VLOOKUP(F652,'Taxonomy Sheet'!$E$3:$F$5,2,FALSE),"")</f>
        <v/>
      </c>
      <c r="M652" s="32" t="str">
        <f t="shared" si="9"/>
        <v/>
      </c>
    </row>
    <row r="653" spans="11:13" ht="14.25" customHeight="1" x14ac:dyDescent="0.35">
      <c r="K653" s="32" t="str">
        <f>IFERROR(VLOOKUP(G653,'Taxonomy Sheet'!$A$3:$C$6,2,FALSE),"")</f>
        <v/>
      </c>
      <c r="L653" s="32" t="str">
        <f>IFERROR(VLOOKUP(F653,'Taxonomy Sheet'!$E$3:$F$5,2,FALSE),"")</f>
        <v/>
      </c>
      <c r="M653" s="32" t="str">
        <f t="shared" ref="M653:M716" si="10">IF(OR(K653="",L653=""),"",K653*L653)</f>
        <v/>
      </c>
    </row>
    <row r="654" spans="11:13" ht="14.25" customHeight="1" x14ac:dyDescent="0.35">
      <c r="K654" s="32" t="str">
        <f>IFERROR(VLOOKUP(G654,'Taxonomy Sheet'!$A$3:$C$6,2,FALSE),"")</f>
        <v/>
      </c>
      <c r="L654" s="32" t="str">
        <f>IFERROR(VLOOKUP(F654,'Taxonomy Sheet'!$E$3:$F$5,2,FALSE),"")</f>
        <v/>
      </c>
      <c r="M654" s="32" t="str">
        <f t="shared" si="10"/>
        <v/>
      </c>
    </row>
    <row r="655" spans="11:13" ht="14.25" customHeight="1" x14ac:dyDescent="0.35">
      <c r="K655" s="32" t="str">
        <f>IFERROR(VLOOKUP(G655,'Taxonomy Sheet'!$A$3:$C$6,2,FALSE),"")</f>
        <v/>
      </c>
      <c r="L655" s="32" t="str">
        <f>IFERROR(VLOOKUP(F655,'Taxonomy Sheet'!$E$3:$F$5,2,FALSE),"")</f>
        <v/>
      </c>
      <c r="M655" s="32" t="str">
        <f t="shared" si="10"/>
        <v/>
      </c>
    </row>
    <row r="656" spans="11:13" ht="14.25" customHeight="1" x14ac:dyDescent="0.35">
      <c r="K656" s="32" t="str">
        <f>IFERROR(VLOOKUP(G656,'Taxonomy Sheet'!$A$3:$C$6,2,FALSE),"")</f>
        <v/>
      </c>
      <c r="L656" s="32" t="str">
        <f>IFERROR(VLOOKUP(F656,'Taxonomy Sheet'!$E$3:$F$5,2,FALSE),"")</f>
        <v/>
      </c>
      <c r="M656" s="32" t="str">
        <f t="shared" si="10"/>
        <v/>
      </c>
    </row>
    <row r="657" spans="11:13" ht="14.25" customHeight="1" x14ac:dyDescent="0.35">
      <c r="K657" s="32" t="str">
        <f>IFERROR(VLOOKUP(G657,'Taxonomy Sheet'!$A$3:$C$6,2,FALSE),"")</f>
        <v/>
      </c>
      <c r="L657" s="32" t="str">
        <f>IFERROR(VLOOKUP(F657,'Taxonomy Sheet'!$E$3:$F$5,2,FALSE),"")</f>
        <v/>
      </c>
      <c r="M657" s="32" t="str">
        <f t="shared" si="10"/>
        <v/>
      </c>
    </row>
    <row r="658" spans="11:13" ht="14.25" customHeight="1" x14ac:dyDescent="0.35">
      <c r="K658" s="32" t="str">
        <f>IFERROR(VLOOKUP(G658,'Taxonomy Sheet'!$A$3:$C$6,2,FALSE),"")</f>
        <v/>
      </c>
      <c r="L658" s="32" t="str">
        <f>IFERROR(VLOOKUP(F658,'Taxonomy Sheet'!$E$3:$F$5,2,FALSE),"")</f>
        <v/>
      </c>
      <c r="M658" s="32" t="str">
        <f t="shared" si="10"/>
        <v/>
      </c>
    </row>
    <row r="659" spans="11:13" ht="14.25" customHeight="1" x14ac:dyDescent="0.35">
      <c r="K659" s="32" t="str">
        <f>IFERROR(VLOOKUP(G659,'Taxonomy Sheet'!$A$3:$C$6,2,FALSE),"")</f>
        <v/>
      </c>
      <c r="L659" s="32" t="str">
        <f>IFERROR(VLOOKUP(F659,'Taxonomy Sheet'!$E$3:$F$5,2,FALSE),"")</f>
        <v/>
      </c>
      <c r="M659" s="32" t="str">
        <f t="shared" si="10"/>
        <v/>
      </c>
    </row>
    <row r="660" spans="11:13" ht="14.25" customHeight="1" x14ac:dyDescent="0.35">
      <c r="K660" s="32" t="str">
        <f>IFERROR(VLOOKUP(G660,'Taxonomy Sheet'!$A$3:$C$6,2,FALSE),"")</f>
        <v/>
      </c>
      <c r="L660" s="32" t="str">
        <f>IFERROR(VLOOKUP(F660,'Taxonomy Sheet'!$E$3:$F$5,2,FALSE),"")</f>
        <v/>
      </c>
      <c r="M660" s="32" t="str">
        <f t="shared" si="10"/>
        <v/>
      </c>
    </row>
    <row r="661" spans="11:13" ht="14.25" customHeight="1" x14ac:dyDescent="0.35">
      <c r="K661" s="32" t="str">
        <f>IFERROR(VLOOKUP(G661,'Taxonomy Sheet'!$A$3:$C$6,2,FALSE),"")</f>
        <v/>
      </c>
      <c r="L661" s="32" t="str">
        <f>IFERROR(VLOOKUP(F661,'Taxonomy Sheet'!$E$3:$F$5,2,FALSE),"")</f>
        <v/>
      </c>
      <c r="M661" s="32" t="str">
        <f t="shared" si="10"/>
        <v/>
      </c>
    </row>
    <row r="662" spans="11:13" ht="14.25" customHeight="1" x14ac:dyDescent="0.35">
      <c r="K662" s="32" t="str">
        <f>IFERROR(VLOOKUP(G662,'Taxonomy Sheet'!$A$3:$C$6,2,FALSE),"")</f>
        <v/>
      </c>
      <c r="L662" s="32" t="str">
        <f>IFERROR(VLOOKUP(F662,'Taxonomy Sheet'!$E$3:$F$5,2,FALSE),"")</f>
        <v/>
      </c>
      <c r="M662" s="32" t="str">
        <f t="shared" si="10"/>
        <v/>
      </c>
    </row>
    <row r="663" spans="11:13" ht="14.25" customHeight="1" x14ac:dyDescent="0.35">
      <c r="K663" s="32" t="str">
        <f>IFERROR(VLOOKUP(G663,'Taxonomy Sheet'!$A$3:$C$6,2,FALSE),"")</f>
        <v/>
      </c>
      <c r="L663" s="32" t="str">
        <f>IFERROR(VLOOKUP(F663,'Taxonomy Sheet'!$E$3:$F$5,2,FALSE),"")</f>
        <v/>
      </c>
      <c r="M663" s="32" t="str">
        <f t="shared" si="10"/>
        <v/>
      </c>
    </row>
    <row r="664" spans="11:13" ht="14.25" customHeight="1" x14ac:dyDescent="0.35">
      <c r="K664" s="32" t="str">
        <f>IFERROR(VLOOKUP(G664,'Taxonomy Sheet'!$A$3:$C$6,2,FALSE),"")</f>
        <v/>
      </c>
      <c r="L664" s="32" t="str">
        <f>IFERROR(VLOOKUP(F664,'Taxonomy Sheet'!$E$3:$F$5,2,FALSE),"")</f>
        <v/>
      </c>
      <c r="M664" s="32" t="str">
        <f t="shared" si="10"/>
        <v/>
      </c>
    </row>
    <row r="665" spans="11:13" ht="14.25" customHeight="1" x14ac:dyDescent="0.35">
      <c r="K665" s="32" t="str">
        <f>IFERROR(VLOOKUP(G665,'Taxonomy Sheet'!$A$3:$C$6,2,FALSE),"")</f>
        <v/>
      </c>
      <c r="L665" s="32" t="str">
        <f>IFERROR(VLOOKUP(F665,'Taxonomy Sheet'!$E$3:$F$5,2,FALSE),"")</f>
        <v/>
      </c>
      <c r="M665" s="32" t="str">
        <f t="shared" si="10"/>
        <v/>
      </c>
    </row>
    <row r="666" spans="11:13" ht="14.25" customHeight="1" x14ac:dyDescent="0.35">
      <c r="K666" s="32" t="str">
        <f>IFERROR(VLOOKUP(G666,'Taxonomy Sheet'!$A$3:$C$6,2,FALSE),"")</f>
        <v/>
      </c>
      <c r="L666" s="32" t="str">
        <f>IFERROR(VLOOKUP(F666,'Taxonomy Sheet'!$E$3:$F$5,2,FALSE),"")</f>
        <v/>
      </c>
      <c r="M666" s="32" t="str">
        <f t="shared" si="10"/>
        <v/>
      </c>
    </row>
    <row r="667" spans="11:13" ht="14.25" customHeight="1" x14ac:dyDescent="0.35">
      <c r="K667" s="32" t="str">
        <f>IFERROR(VLOOKUP(G667,'Taxonomy Sheet'!$A$3:$C$6,2,FALSE),"")</f>
        <v/>
      </c>
      <c r="L667" s="32" t="str">
        <f>IFERROR(VLOOKUP(F667,'Taxonomy Sheet'!$E$3:$F$5,2,FALSE),"")</f>
        <v/>
      </c>
      <c r="M667" s="32" t="str">
        <f t="shared" si="10"/>
        <v/>
      </c>
    </row>
    <row r="668" spans="11:13" ht="14.25" customHeight="1" x14ac:dyDescent="0.35">
      <c r="K668" s="32" t="str">
        <f>IFERROR(VLOOKUP(G668,'Taxonomy Sheet'!$A$3:$C$6,2,FALSE),"")</f>
        <v/>
      </c>
      <c r="L668" s="32" t="str">
        <f>IFERROR(VLOOKUP(F668,'Taxonomy Sheet'!$E$3:$F$5,2,FALSE),"")</f>
        <v/>
      </c>
      <c r="M668" s="32" t="str">
        <f t="shared" si="10"/>
        <v/>
      </c>
    </row>
    <row r="669" spans="11:13" ht="14.25" customHeight="1" x14ac:dyDescent="0.35">
      <c r="K669" s="32" t="str">
        <f>IFERROR(VLOOKUP(G669,'Taxonomy Sheet'!$A$3:$C$6,2,FALSE),"")</f>
        <v/>
      </c>
      <c r="L669" s="32" t="str">
        <f>IFERROR(VLOOKUP(F669,'Taxonomy Sheet'!$E$3:$F$5,2,FALSE),"")</f>
        <v/>
      </c>
      <c r="M669" s="32" t="str">
        <f t="shared" si="10"/>
        <v/>
      </c>
    </row>
    <row r="670" spans="11:13" ht="14.25" customHeight="1" x14ac:dyDescent="0.35">
      <c r="K670" s="32" t="str">
        <f>IFERROR(VLOOKUP(G670,'Taxonomy Sheet'!$A$3:$C$6,2,FALSE),"")</f>
        <v/>
      </c>
      <c r="L670" s="32" t="str">
        <f>IFERROR(VLOOKUP(F670,'Taxonomy Sheet'!$E$3:$F$5,2,FALSE),"")</f>
        <v/>
      </c>
      <c r="M670" s="32" t="str">
        <f t="shared" si="10"/>
        <v/>
      </c>
    </row>
    <row r="671" spans="11:13" ht="14.25" customHeight="1" x14ac:dyDescent="0.35">
      <c r="K671" s="32" t="str">
        <f>IFERROR(VLOOKUP(G671,'Taxonomy Sheet'!$A$3:$C$6,2,FALSE),"")</f>
        <v/>
      </c>
      <c r="L671" s="32" t="str">
        <f>IFERROR(VLOOKUP(F671,'Taxonomy Sheet'!$E$3:$F$5,2,FALSE),"")</f>
        <v/>
      </c>
      <c r="M671" s="32" t="str">
        <f t="shared" si="10"/>
        <v/>
      </c>
    </row>
    <row r="672" spans="11:13" ht="14.25" customHeight="1" x14ac:dyDescent="0.35">
      <c r="K672" s="32" t="str">
        <f>IFERROR(VLOOKUP(G672,'Taxonomy Sheet'!$A$3:$C$6,2,FALSE),"")</f>
        <v/>
      </c>
      <c r="L672" s="32" t="str">
        <f>IFERROR(VLOOKUP(F672,'Taxonomy Sheet'!$E$3:$F$5,2,FALSE),"")</f>
        <v/>
      </c>
      <c r="M672" s="32" t="str">
        <f t="shared" si="10"/>
        <v/>
      </c>
    </row>
    <row r="673" spans="11:13" ht="14.25" customHeight="1" x14ac:dyDescent="0.35">
      <c r="K673" s="32" t="str">
        <f>IFERROR(VLOOKUP(G673,'Taxonomy Sheet'!$A$3:$C$6,2,FALSE),"")</f>
        <v/>
      </c>
      <c r="L673" s="32" t="str">
        <f>IFERROR(VLOOKUP(F673,'Taxonomy Sheet'!$E$3:$F$5,2,FALSE),"")</f>
        <v/>
      </c>
      <c r="M673" s="32" t="str">
        <f t="shared" si="10"/>
        <v/>
      </c>
    </row>
    <row r="674" spans="11:13" ht="14.25" customHeight="1" x14ac:dyDescent="0.35">
      <c r="K674" s="32" t="str">
        <f>IFERROR(VLOOKUP(G674,'Taxonomy Sheet'!$A$3:$C$6,2,FALSE),"")</f>
        <v/>
      </c>
      <c r="L674" s="32" t="str">
        <f>IFERROR(VLOOKUP(F674,'Taxonomy Sheet'!$E$3:$F$5,2,FALSE),"")</f>
        <v/>
      </c>
      <c r="M674" s="32" t="str">
        <f t="shared" si="10"/>
        <v/>
      </c>
    </row>
    <row r="675" spans="11:13" ht="14.25" customHeight="1" x14ac:dyDescent="0.35">
      <c r="K675" s="32" t="str">
        <f>IFERROR(VLOOKUP(G675,'Taxonomy Sheet'!$A$3:$C$6,2,FALSE),"")</f>
        <v/>
      </c>
      <c r="L675" s="32" t="str">
        <f>IFERROR(VLOOKUP(F675,'Taxonomy Sheet'!$E$3:$F$5,2,FALSE),"")</f>
        <v/>
      </c>
      <c r="M675" s="32" t="str">
        <f t="shared" si="10"/>
        <v/>
      </c>
    </row>
    <row r="676" spans="11:13" ht="14.25" customHeight="1" x14ac:dyDescent="0.35">
      <c r="K676" s="32" t="str">
        <f>IFERROR(VLOOKUP(G676,'Taxonomy Sheet'!$A$3:$C$6,2,FALSE),"")</f>
        <v/>
      </c>
      <c r="L676" s="32" t="str">
        <f>IFERROR(VLOOKUP(F676,'Taxonomy Sheet'!$E$3:$F$5,2,FALSE),"")</f>
        <v/>
      </c>
      <c r="M676" s="32" t="str">
        <f t="shared" si="10"/>
        <v/>
      </c>
    </row>
    <row r="677" spans="11:13" ht="14.25" customHeight="1" x14ac:dyDescent="0.35">
      <c r="K677" s="32" t="str">
        <f>IFERROR(VLOOKUP(G677,'Taxonomy Sheet'!$A$3:$C$6,2,FALSE),"")</f>
        <v/>
      </c>
      <c r="L677" s="32" t="str">
        <f>IFERROR(VLOOKUP(F677,'Taxonomy Sheet'!$E$3:$F$5,2,FALSE),"")</f>
        <v/>
      </c>
      <c r="M677" s="32" t="str">
        <f t="shared" si="10"/>
        <v/>
      </c>
    </row>
    <row r="678" spans="11:13" ht="14.25" customHeight="1" x14ac:dyDescent="0.35">
      <c r="K678" s="32" t="str">
        <f>IFERROR(VLOOKUP(G678,'Taxonomy Sheet'!$A$3:$C$6,2,FALSE),"")</f>
        <v/>
      </c>
      <c r="L678" s="32" t="str">
        <f>IFERROR(VLOOKUP(F678,'Taxonomy Sheet'!$E$3:$F$5,2,FALSE),"")</f>
        <v/>
      </c>
      <c r="M678" s="32" t="str">
        <f t="shared" si="10"/>
        <v/>
      </c>
    </row>
    <row r="679" spans="11:13" ht="14.25" customHeight="1" x14ac:dyDescent="0.35">
      <c r="K679" s="32" t="str">
        <f>IFERROR(VLOOKUP(G679,'Taxonomy Sheet'!$A$3:$C$6,2,FALSE),"")</f>
        <v/>
      </c>
      <c r="L679" s="32" t="str">
        <f>IFERROR(VLOOKUP(F679,'Taxonomy Sheet'!$E$3:$F$5,2,FALSE),"")</f>
        <v/>
      </c>
      <c r="M679" s="32" t="str">
        <f t="shared" si="10"/>
        <v/>
      </c>
    </row>
    <row r="680" spans="11:13" ht="14.25" customHeight="1" x14ac:dyDescent="0.35">
      <c r="K680" s="32" t="str">
        <f>IFERROR(VLOOKUP(G680,'Taxonomy Sheet'!$A$3:$C$6,2,FALSE),"")</f>
        <v/>
      </c>
      <c r="L680" s="32" t="str">
        <f>IFERROR(VLOOKUP(F680,'Taxonomy Sheet'!$E$3:$F$5,2,FALSE),"")</f>
        <v/>
      </c>
      <c r="M680" s="32" t="str">
        <f t="shared" si="10"/>
        <v/>
      </c>
    </row>
    <row r="681" spans="11:13" ht="14.25" customHeight="1" x14ac:dyDescent="0.35">
      <c r="K681" s="32" t="str">
        <f>IFERROR(VLOOKUP(G681,'Taxonomy Sheet'!$A$3:$C$6,2,FALSE),"")</f>
        <v/>
      </c>
      <c r="L681" s="32" t="str">
        <f>IFERROR(VLOOKUP(F681,'Taxonomy Sheet'!$E$3:$F$5,2,FALSE),"")</f>
        <v/>
      </c>
      <c r="M681" s="32" t="str">
        <f t="shared" si="10"/>
        <v/>
      </c>
    </row>
    <row r="682" spans="11:13" ht="14.25" customHeight="1" x14ac:dyDescent="0.35">
      <c r="K682" s="32" t="str">
        <f>IFERROR(VLOOKUP(G682,'Taxonomy Sheet'!$A$3:$C$6,2,FALSE),"")</f>
        <v/>
      </c>
      <c r="L682" s="32" t="str">
        <f>IFERROR(VLOOKUP(F682,'Taxonomy Sheet'!$E$3:$F$5,2,FALSE),"")</f>
        <v/>
      </c>
      <c r="M682" s="32" t="str">
        <f t="shared" si="10"/>
        <v/>
      </c>
    </row>
    <row r="683" spans="11:13" ht="14.25" customHeight="1" x14ac:dyDescent="0.35">
      <c r="K683" s="32" t="str">
        <f>IFERROR(VLOOKUP(G683,'Taxonomy Sheet'!$A$3:$C$6,2,FALSE),"")</f>
        <v/>
      </c>
      <c r="L683" s="32" t="str">
        <f>IFERROR(VLOOKUP(F683,'Taxonomy Sheet'!$E$3:$F$5,2,FALSE),"")</f>
        <v/>
      </c>
      <c r="M683" s="32" t="str">
        <f t="shared" si="10"/>
        <v/>
      </c>
    </row>
    <row r="684" spans="11:13" ht="14.25" customHeight="1" x14ac:dyDescent="0.35">
      <c r="K684" s="32" t="str">
        <f>IFERROR(VLOOKUP(G684,'Taxonomy Sheet'!$A$3:$C$6,2,FALSE),"")</f>
        <v/>
      </c>
      <c r="L684" s="32" t="str">
        <f>IFERROR(VLOOKUP(F684,'Taxonomy Sheet'!$E$3:$F$5,2,FALSE),"")</f>
        <v/>
      </c>
      <c r="M684" s="32" t="str">
        <f t="shared" si="10"/>
        <v/>
      </c>
    </row>
    <row r="685" spans="11:13" ht="14.25" customHeight="1" x14ac:dyDescent="0.35">
      <c r="K685" s="32" t="str">
        <f>IFERROR(VLOOKUP(G685,'Taxonomy Sheet'!$A$3:$C$6,2,FALSE),"")</f>
        <v/>
      </c>
      <c r="L685" s="32" t="str">
        <f>IFERROR(VLOOKUP(F685,'Taxonomy Sheet'!$E$3:$F$5,2,FALSE),"")</f>
        <v/>
      </c>
      <c r="M685" s="32" t="str">
        <f t="shared" si="10"/>
        <v/>
      </c>
    </row>
    <row r="686" spans="11:13" ht="14.25" customHeight="1" x14ac:dyDescent="0.35">
      <c r="K686" s="32" t="str">
        <f>IFERROR(VLOOKUP(G686,'Taxonomy Sheet'!$A$3:$C$6,2,FALSE),"")</f>
        <v/>
      </c>
      <c r="L686" s="32" t="str">
        <f>IFERROR(VLOOKUP(F686,'Taxonomy Sheet'!$E$3:$F$5,2,FALSE),"")</f>
        <v/>
      </c>
      <c r="M686" s="32" t="str">
        <f t="shared" si="10"/>
        <v/>
      </c>
    </row>
    <row r="687" spans="11:13" ht="14.25" customHeight="1" x14ac:dyDescent="0.35">
      <c r="K687" s="32" t="str">
        <f>IFERROR(VLOOKUP(G687,'Taxonomy Sheet'!$A$3:$C$6,2,FALSE),"")</f>
        <v/>
      </c>
      <c r="L687" s="32" t="str">
        <f>IFERROR(VLOOKUP(F687,'Taxonomy Sheet'!$E$3:$F$5,2,FALSE),"")</f>
        <v/>
      </c>
      <c r="M687" s="32" t="str">
        <f t="shared" si="10"/>
        <v/>
      </c>
    </row>
    <row r="688" spans="11:13" ht="14.25" customHeight="1" x14ac:dyDescent="0.35">
      <c r="K688" s="32" t="str">
        <f>IFERROR(VLOOKUP(G688,'Taxonomy Sheet'!$A$3:$C$6,2,FALSE),"")</f>
        <v/>
      </c>
      <c r="L688" s="32" t="str">
        <f>IFERROR(VLOOKUP(F688,'Taxonomy Sheet'!$E$3:$F$5,2,FALSE),"")</f>
        <v/>
      </c>
      <c r="M688" s="32" t="str">
        <f t="shared" si="10"/>
        <v/>
      </c>
    </row>
    <row r="689" spans="11:13" ht="14.25" customHeight="1" x14ac:dyDescent="0.35">
      <c r="K689" s="32" t="str">
        <f>IFERROR(VLOOKUP(G689,'Taxonomy Sheet'!$A$3:$C$6,2,FALSE),"")</f>
        <v/>
      </c>
      <c r="L689" s="32" t="str">
        <f>IFERROR(VLOOKUP(F689,'Taxonomy Sheet'!$E$3:$F$5,2,FALSE),"")</f>
        <v/>
      </c>
      <c r="M689" s="32" t="str">
        <f t="shared" si="10"/>
        <v/>
      </c>
    </row>
    <row r="690" spans="11:13" ht="14.25" customHeight="1" x14ac:dyDescent="0.35">
      <c r="K690" s="32" t="str">
        <f>IFERROR(VLOOKUP(G690,'Taxonomy Sheet'!$A$3:$C$6,2,FALSE),"")</f>
        <v/>
      </c>
      <c r="L690" s="32" t="str">
        <f>IFERROR(VLOOKUP(F690,'Taxonomy Sheet'!$E$3:$F$5,2,FALSE),"")</f>
        <v/>
      </c>
      <c r="M690" s="32" t="str">
        <f t="shared" si="10"/>
        <v/>
      </c>
    </row>
    <row r="691" spans="11:13" ht="14.25" customHeight="1" x14ac:dyDescent="0.35">
      <c r="K691" s="32" t="str">
        <f>IFERROR(VLOOKUP(G691,'Taxonomy Sheet'!$A$3:$C$6,2,FALSE),"")</f>
        <v/>
      </c>
      <c r="L691" s="32" t="str">
        <f>IFERROR(VLOOKUP(F691,'Taxonomy Sheet'!$E$3:$F$5,2,FALSE),"")</f>
        <v/>
      </c>
      <c r="M691" s="32" t="str">
        <f t="shared" si="10"/>
        <v/>
      </c>
    </row>
    <row r="692" spans="11:13" ht="14.25" customHeight="1" x14ac:dyDescent="0.35">
      <c r="K692" s="32" t="str">
        <f>IFERROR(VLOOKUP(G692,'Taxonomy Sheet'!$A$3:$C$6,2,FALSE),"")</f>
        <v/>
      </c>
      <c r="L692" s="32" t="str">
        <f>IFERROR(VLOOKUP(F692,'Taxonomy Sheet'!$E$3:$F$5,2,FALSE),"")</f>
        <v/>
      </c>
      <c r="M692" s="32" t="str">
        <f t="shared" si="10"/>
        <v/>
      </c>
    </row>
    <row r="693" spans="11:13" ht="14.25" customHeight="1" x14ac:dyDescent="0.35">
      <c r="K693" s="32" t="str">
        <f>IFERROR(VLOOKUP(G693,'Taxonomy Sheet'!$A$3:$C$6,2,FALSE),"")</f>
        <v/>
      </c>
      <c r="L693" s="32" t="str">
        <f>IFERROR(VLOOKUP(F693,'Taxonomy Sheet'!$E$3:$F$5,2,FALSE),"")</f>
        <v/>
      </c>
      <c r="M693" s="32" t="str">
        <f t="shared" si="10"/>
        <v/>
      </c>
    </row>
    <row r="694" spans="11:13" ht="14.25" customHeight="1" x14ac:dyDescent="0.35">
      <c r="K694" s="32" t="str">
        <f>IFERROR(VLOOKUP(G694,'Taxonomy Sheet'!$A$3:$C$6,2,FALSE),"")</f>
        <v/>
      </c>
      <c r="L694" s="32" t="str">
        <f>IFERROR(VLOOKUP(F694,'Taxonomy Sheet'!$E$3:$F$5,2,FALSE),"")</f>
        <v/>
      </c>
      <c r="M694" s="32" t="str">
        <f t="shared" si="10"/>
        <v/>
      </c>
    </row>
    <row r="695" spans="11:13" ht="14.25" customHeight="1" x14ac:dyDescent="0.35">
      <c r="K695" s="32" t="str">
        <f>IFERROR(VLOOKUP(G695,'Taxonomy Sheet'!$A$3:$C$6,2,FALSE),"")</f>
        <v/>
      </c>
      <c r="L695" s="32" t="str">
        <f>IFERROR(VLOOKUP(F695,'Taxonomy Sheet'!$E$3:$F$5,2,FALSE),"")</f>
        <v/>
      </c>
      <c r="M695" s="32" t="str">
        <f t="shared" si="10"/>
        <v/>
      </c>
    </row>
    <row r="696" spans="11:13" ht="14.25" customHeight="1" x14ac:dyDescent="0.35">
      <c r="K696" s="32" t="str">
        <f>IFERROR(VLOOKUP(G696,'Taxonomy Sheet'!$A$3:$C$6,2,FALSE),"")</f>
        <v/>
      </c>
      <c r="L696" s="32" t="str">
        <f>IFERROR(VLOOKUP(F696,'Taxonomy Sheet'!$E$3:$F$5,2,FALSE),"")</f>
        <v/>
      </c>
      <c r="M696" s="32" t="str">
        <f t="shared" si="10"/>
        <v/>
      </c>
    </row>
    <row r="697" spans="11:13" ht="14.25" customHeight="1" x14ac:dyDescent="0.35">
      <c r="K697" s="32" t="str">
        <f>IFERROR(VLOOKUP(G697,'Taxonomy Sheet'!$A$3:$C$6,2,FALSE),"")</f>
        <v/>
      </c>
      <c r="L697" s="32" t="str">
        <f>IFERROR(VLOOKUP(F697,'Taxonomy Sheet'!$E$3:$F$5,2,FALSE),"")</f>
        <v/>
      </c>
      <c r="M697" s="32" t="str">
        <f t="shared" si="10"/>
        <v/>
      </c>
    </row>
    <row r="698" spans="11:13" ht="14.25" customHeight="1" x14ac:dyDescent="0.35">
      <c r="K698" s="32" t="str">
        <f>IFERROR(VLOOKUP(G698,'Taxonomy Sheet'!$A$3:$C$6,2,FALSE),"")</f>
        <v/>
      </c>
      <c r="L698" s="32" t="str">
        <f>IFERROR(VLOOKUP(F698,'Taxonomy Sheet'!$E$3:$F$5,2,FALSE),"")</f>
        <v/>
      </c>
      <c r="M698" s="32" t="str">
        <f t="shared" si="10"/>
        <v/>
      </c>
    </row>
    <row r="699" spans="11:13" ht="14.25" customHeight="1" x14ac:dyDescent="0.35">
      <c r="K699" s="32" t="str">
        <f>IFERROR(VLOOKUP(G699,'Taxonomy Sheet'!$A$3:$C$6,2,FALSE),"")</f>
        <v/>
      </c>
      <c r="L699" s="32" t="str">
        <f>IFERROR(VLOOKUP(F699,'Taxonomy Sheet'!$E$3:$F$5,2,FALSE),"")</f>
        <v/>
      </c>
      <c r="M699" s="32" t="str">
        <f t="shared" si="10"/>
        <v/>
      </c>
    </row>
    <row r="700" spans="11:13" ht="14.25" customHeight="1" x14ac:dyDescent="0.35">
      <c r="K700" s="32" t="str">
        <f>IFERROR(VLOOKUP(G700,'Taxonomy Sheet'!$A$3:$C$6,2,FALSE),"")</f>
        <v/>
      </c>
      <c r="L700" s="32" t="str">
        <f>IFERROR(VLOOKUP(F700,'Taxonomy Sheet'!$E$3:$F$5,2,FALSE),"")</f>
        <v/>
      </c>
      <c r="M700" s="32" t="str">
        <f t="shared" si="10"/>
        <v/>
      </c>
    </row>
    <row r="701" spans="11:13" ht="14.25" customHeight="1" x14ac:dyDescent="0.35">
      <c r="K701" s="32" t="str">
        <f>IFERROR(VLOOKUP(G701,'Taxonomy Sheet'!$A$3:$C$6,2,FALSE),"")</f>
        <v/>
      </c>
      <c r="L701" s="32" t="str">
        <f>IFERROR(VLOOKUP(F701,'Taxonomy Sheet'!$E$3:$F$5,2,FALSE),"")</f>
        <v/>
      </c>
      <c r="M701" s="32" t="str">
        <f t="shared" si="10"/>
        <v/>
      </c>
    </row>
    <row r="702" spans="11:13" ht="14.25" customHeight="1" x14ac:dyDescent="0.35">
      <c r="K702" s="32" t="str">
        <f>IFERROR(VLOOKUP(G702,'Taxonomy Sheet'!$A$3:$C$6,2,FALSE),"")</f>
        <v/>
      </c>
      <c r="L702" s="32" t="str">
        <f>IFERROR(VLOOKUP(F702,'Taxonomy Sheet'!$E$3:$F$5,2,FALSE),"")</f>
        <v/>
      </c>
      <c r="M702" s="32" t="str">
        <f t="shared" si="10"/>
        <v/>
      </c>
    </row>
    <row r="703" spans="11:13" ht="14.25" customHeight="1" x14ac:dyDescent="0.35">
      <c r="K703" s="32" t="str">
        <f>IFERROR(VLOOKUP(G703,'Taxonomy Sheet'!$A$3:$C$6,2,FALSE),"")</f>
        <v/>
      </c>
      <c r="L703" s="32" t="str">
        <f>IFERROR(VLOOKUP(F703,'Taxonomy Sheet'!$E$3:$F$5,2,FALSE),"")</f>
        <v/>
      </c>
      <c r="M703" s="32" t="str">
        <f t="shared" si="10"/>
        <v/>
      </c>
    </row>
    <row r="704" spans="11:13" ht="14.25" customHeight="1" x14ac:dyDescent="0.35">
      <c r="K704" s="32" t="str">
        <f>IFERROR(VLOOKUP(G704,'Taxonomy Sheet'!$A$3:$C$6,2,FALSE),"")</f>
        <v/>
      </c>
      <c r="L704" s="32" t="str">
        <f>IFERROR(VLOOKUP(F704,'Taxonomy Sheet'!$E$3:$F$5,2,FALSE),"")</f>
        <v/>
      </c>
      <c r="M704" s="32" t="str">
        <f t="shared" si="10"/>
        <v/>
      </c>
    </row>
    <row r="705" spans="11:13" ht="14.25" customHeight="1" x14ac:dyDescent="0.35">
      <c r="K705" s="32" t="str">
        <f>IFERROR(VLOOKUP(G705,'Taxonomy Sheet'!$A$3:$C$6,2,FALSE),"")</f>
        <v/>
      </c>
      <c r="L705" s="32" t="str">
        <f>IFERROR(VLOOKUP(F705,'Taxonomy Sheet'!$E$3:$F$5,2,FALSE),"")</f>
        <v/>
      </c>
      <c r="M705" s="32" t="str">
        <f t="shared" si="10"/>
        <v/>
      </c>
    </row>
    <row r="706" spans="11:13" ht="14.25" customHeight="1" x14ac:dyDescent="0.35">
      <c r="K706" s="32" t="str">
        <f>IFERROR(VLOOKUP(G706,'Taxonomy Sheet'!$A$3:$C$6,2,FALSE),"")</f>
        <v/>
      </c>
      <c r="L706" s="32" t="str">
        <f>IFERROR(VLOOKUP(F706,'Taxonomy Sheet'!$E$3:$F$5,2,FALSE),"")</f>
        <v/>
      </c>
      <c r="M706" s="32" t="str">
        <f t="shared" si="10"/>
        <v/>
      </c>
    </row>
    <row r="707" spans="11:13" ht="14.25" customHeight="1" x14ac:dyDescent="0.35">
      <c r="K707" s="32" t="str">
        <f>IFERROR(VLOOKUP(G707,'Taxonomy Sheet'!$A$3:$C$6,2,FALSE),"")</f>
        <v/>
      </c>
      <c r="L707" s="32" t="str">
        <f>IFERROR(VLOOKUP(F707,'Taxonomy Sheet'!$E$3:$F$5,2,FALSE),"")</f>
        <v/>
      </c>
      <c r="M707" s="32" t="str">
        <f t="shared" si="10"/>
        <v/>
      </c>
    </row>
    <row r="708" spans="11:13" ht="14.25" customHeight="1" x14ac:dyDescent="0.35">
      <c r="K708" s="32" t="str">
        <f>IFERROR(VLOOKUP(G708,'Taxonomy Sheet'!$A$3:$C$6,2,FALSE),"")</f>
        <v/>
      </c>
      <c r="L708" s="32" t="str">
        <f>IFERROR(VLOOKUP(F708,'Taxonomy Sheet'!$E$3:$F$5,2,FALSE),"")</f>
        <v/>
      </c>
      <c r="M708" s="32" t="str">
        <f t="shared" si="10"/>
        <v/>
      </c>
    </row>
    <row r="709" spans="11:13" ht="14.25" customHeight="1" x14ac:dyDescent="0.35">
      <c r="K709" s="32" t="str">
        <f>IFERROR(VLOOKUP(G709,'Taxonomy Sheet'!$A$3:$C$6,2,FALSE),"")</f>
        <v/>
      </c>
      <c r="L709" s="32" t="str">
        <f>IFERROR(VLOOKUP(F709,'Taxonomy Sheet'!$E$3:$F$5,2,FALSE),"")</f>
        <v/>
      </c>
      <c r="M709" s="32" t="str">
        <f t="shared" si="10"/>
        <v/>
      </c>
    </row>
    <row r="710" spans="11:13" ht="14.25" customHeight="1" x14ac:dyDescent="0.35">
      <c r="K710" s="32" t="str">
        <f>IFERROR(VLOOKUP(G710,'Taxonomy Sheet'!$A$3:$C$6,2,FALSE),"")</f>
        <v/>
      </c>
      <c r="L710" s="32" t="str">
        <f>IFERROR(VLOOKUP(F710,'Taxonomy Sheet'!$E$3:$F$5,2,FALSE),"")</f>
        <v/>
      </c>
      <c r="M710" s="32" t="str">
        <f t="shared" si="10"/>
        <v/>
      </c>
    </row>
    <row r="711" spans="11:13" ht="14.25" customHeight="1" x14ac:dyDescent="0.35">
      <c r="K711" s="32" t="str">
        <f>IFERROR(VLOOKUP(G711,'Taxonomy Sheet'!$A$3:$C$6,2,FALSE),"")</f>
        <v/>
      </c>
      <c r="L711" s="32" t="str">
        <f>IFERROR(VLOOKUP(F711,'Taxonomy Sheet'!$E$3:$F$5,2,FALSE),"")</f>
        <v/>
      </c>
      <c r="M711" s="32" t="str">
        <f t="shared" si="10"/>
        <v/>
      </c>
    </row>
    <row r="712" spans="11:13" ht="14.25" customHeight="1" x14ac:dyDescent="0.35">
      <c r="K712" s="32" t="str">
        <f>IFERROR(VLOOKUP(G712,'Taxonomy Sheet'!$A$3:$C$6,2,FALSE),"")</f>
        <v/>
      </c>
      <c r="L712" s="32" t="str">
        <f>IFERROR(VLOOKUP(F712,'Taxonomy Sheet'!$E$3:$F$5,2,FALSE),"")</f>
        <v/>
      </c>
      <c r="M712" s="32" t="str">
        <f t="shared" si="10"/>
        <v/>
      </c>
    </row>
    <row r="713" spans="11:13" ht="14.25" customHeight="1" x14ac:dyDescent="0.35">
      <c r="K713" s="32" t="str">
        <f>IFERROR(VLOOKUP(G713,'Taxonomy Sheet'!$A$3:$C$6,2,FALSE),"")</f>
        <v/>
      </c>
      <c r="L713" s="32" t="str">
        <f>IFERROR(VLOOKUP(F713,'Taxonomy Sheet'!$E$3:$F$5,2,FALSE),"")</f>
        <v/>
      </c>
      <c r="M713" s="32" t="str">
        <f t="shared" si="10"/>
        <v/>
      </c>
    </row>
    <row r="714" spans="11:13" ht="14.25" customHeight="1" x14ac:dyDescent="0.35">
      <c r="K714" s="32" t="str">
        <f>IFERROR(VLOOKUP(G714,'Taxonomy Sheet'!$A$3:$C$6,2,FALSE),"")</f>
        <v/>
      </c>
      <c r="L714" s="32" t="str">
        <f>IFERROR(VLOOKUP(F714,'Taxonomy Sheet'!$E$3:$F$5,2,FALSE),"")</f>
        <v/>
      </c>
      <c r="M714" s="32" t="str">
        <f t="shared" si="10"/>
        <v/>
      </c>
    </row>
    <row r="715" spans="11:13" ht="14.25" customHeight="1" x14ac:dyDescent="0.35">
      <c r="K715" s="32" t="str">
        <f>IFERROR(VLOOKUP(G715,'Taxonomy Sheet'!$A$3:$C$6,2,FALSE),"")</f>
        <v/>
      </c>
      <c r="L715" s="32" t="str">
        <f>IFERROR(VLOOKUP(F715,'Taxonomy Sheet'!$E$3:$F$5,2,FALSE),"")</f>
        <v/>
      </c>
      <c r="M715" s="32" t="str">
        <f t="shared" si="10"/>
        <v/>
      </c>
    </row>
    <row r="716" spans="11:13" ht="14.25" customHeight="1" x14ac:dyDescent="0.35">
      <c r="K716" s="32" t="str">
        <f>IFERROR(VLOOKUP(G716,'Taxonomy Sheet'!$A$3:$C$6,2,FALSE),"")</f>
        <v/>
      </c>
      <c r="L716" s="32" t="str">
        <f>IFERROR(VLOOKUP(F716,'Taxonomy Sheet'!$E$3:$F$5,2,FALSE),"")</f>
        <v/>
      </c>
      <c r="M716" s="32" t="str">
        <f t="shared" si="10"/>
        <v/>
      </c>
    </row>
    <row r="717" spans="11:13" ht="14.25" customHeight="1" x14ac:dyDescent="0.35">
      <c r="K717" s="32" t="str">
        <f>IFERROR(VLOOKUP(G717,'Taxonomy Sheet'!$A$3:$C$6,2,FALSE),"")</f>
        <v/>
      </c>
      <c r="L717" s="32" t="str">
        <f>IFERROR(VLOOKUP(F717,'Taxonomy Sheet'!$E$3:$F$5,2,FALSE),"")</f>
        <v/>
      </c>
      <c r="M717" s="32" t="str">
        <f t="shared" ref="M717:M780" si="11">IF(OR(K717="",L717=""),"",K717*L717)</f>
        <v/>
      </c>
    </row>
    <row r="718" spans="11:13" ht="14.25" customHeight="1" x14ac:dyDescent="0.35">
      <c r="K718" s="32" t="str">
        <f>IFERROR(VLOOKUP(G718,'Taxonomy Sheet'!$A$3:$C$6,2,FALSE),"")</f>
        <v/>
      </c>
      <c r="L718" s="32" t="str">
        <f>IFERROR(VLOOKUP(F718,'Taxonomy Sheet'!$E$3:$F$5,2,FALSE),"")</f>
        <v/>
      </c>
      <c r="M718" s="32" t="str">
        <f t="shared" si="11"/>
        <v/>
      </c>
    </row>
    <row r="719" spans="11:13" ht="14.25" customHeight="1" x14ac:dyDescent="0.35">
      <c r="K719" s="32" t="str">
        <f>IFERROR(VLOOKUP(G719,'Taxonomy Sheet'!$A$3:$C$6,2,FALSE),"")</f>
        <v/>
      </c>
      <c r="L719" s="32" t="str">
        <f>IFERROR(VLOOKUP(F719,'Taxonomy Sheet'!$E$3:$F$5,2,FALSE),"")</f>
        <v/>
      </c>
      <c r="M719" s="32" t="str">
        <f t="shared" si="11"/>
        <v/>
      </c>
    </row>
    <row r="720" spans="11:13" ht="14.25" customHeight="1" x14ac:dyDescent="0.35">
      <c r="K720" s="32" t="str">
        <f>IFERROR(VLOOKUP(G720,'Taxonomy Sheet'!$A$3:$C$6,2,FALSE),"")</f>
        <v/>
      </c>
      <c r="L720" s="32" t="str">
        <f>IFERROR(VLOOKUP(F720,'Taxonomy Sheet'!$E$3:$F$5,2,FALSE),"")</f>
        <v/>
      </c>
      <c r="M720" s="32" t="str">
        <f t="shared" si="11"/>
        <v/>
      </c>
    </row>
    <row r="721" spans="11:13" ht="14.25" customHeight="1" x14ac:dyDescent="0.35">
      <c r="K721" s="32" t="str">
        <f>IFERROR(VLOOKUP(G721,'Taxonomy Sheet'!$A$3:$C$6,2,FALSE),"")</f>
        <v/>
      </c>
      <c r="L721" s="32" t="str">
        <f>IFERROR(VLOOKUP(F721,'Taxonomy Sheet'!$E$3:$F$5,2,FALSE),"")</f>
        <v/>
      </c>
      <c r="M721" s="32" t="str">
        <f t="shared" si="11"/>
        <v/>
      </c>
    </row>
    <row r="722" spans="11:13" ht="14.25" customHeight="1" x14ac:dyDescent="0.35">
      <c r="K722" s="32" t="str">
        <f>IFERROR(VLOOKUP(G722,'Taxonomy Sheet'!$A$3:$C$6,2,FALSE),"")</f>
        <v/>
      </c>
      <c r="L722" s="32" t="str">
        <f>IFERROR(VLOOKUP(F722,'Taxonomy Sheet'!$E$3:$F$5,2,FALSE),"")</f>
        <v/>
      </c>
      <c r="M722" s="32" t="str">
        <f t="shared" si="11"/>
        <v/>
      </c>
    </row>
    <row r="723" spans="11:13" ht="14.25" customHeight="1" x14ac:dyDescent="0.35">
      <c r="K723" s="32" t="str">
        <f>IFERROR(VLOOKUP(G723,'Taxonomy Sheet'!$A$3:$C$6,2,FALSE),"")</f>
        <v/>
      </c>
      <c r="L723" s="32" t="str">
        <f>IFERROR(VLOOKUP(F723,'Taxonomy Sheet'!$E$3:$F$5,2,FALSE),"")</f>
        <v/>
      </c>
      <c r="M723" s="32" t="str">
        <f t="shared" si="11"/>
        <v/>
      </c>
    </row>
    <row r="724" spans="11:13" ht="14.25" customHeight="1" x14ac:dyDescent="0.35">
      <c r="K724" s="32" t="str">
        <f>IFERROR(VLOOKUP(G724,'Taxonomy Sheet'!$A$3:$C$6,2,FALSE),"")</f>
        <v/>
      </c>
      <c r="L724" s="32" t="str">
        <f>IFERROR(VLOOKUP(F724,'Taxonomy Sheet'!$E$3:$F$5,2,FALSE),"")</f>
        <v/>
      </c>
      <c r="M724" s="32" t="str">
        <f t="shared" si="11"/>
        <v/>
      </c>
    </row>
    <row r="725" spans="11:13" ht="14.25" customHeight="1" x14ac:dyDescent="0.35">
      <c r="K725" s="32" t="str">
        <f>IFERROR(VLOOKUP(G725,'Taxonomy Sheet'!$A$3:$C$6,2,FALSE),"")</f>
        <v/>
      </c>
      <c r="L725" s="32" t="str">
        <f>IFERROR(VLOOKUP(F725,'Taxonomy Sheet'!$E$3:$F$5,2,FALSE),"")</f>
        <v/>
      </c>
      <c r="M725" s="32" t="str">
        <f t="shared" si="11"/>
        <v/>
      </c>
    </row>
    <row r="726" spans="11:13" ht="14.25" customHeight="1" x14ac:dyDescent="0.35">
      <c r="K726" s="32" t="str">
        <f>IFERROR(VLOOKUP(G726,'Taxonomy Sheet'!$A$3:$C$6,2,FALSE),"")</f>
        <v/>
      </c>
      <c r="L726" s="32" t="str">
        <f>IFERROR(VLOOKUP(F726,'Taxonomy Sheet'!$E$3:$F$5,2,FALSE),"")</f>
        <v/>
      </c>
      <c r="M726" s="32" t="str">
        <f t="shared" si="11"/>
        <v/>
      </c>
    </row>
    <row r="727" spans="11:13" ht="14.25" customHeight="1" x14ac:dyDescent="0.35">
      <c r="K727" s="32" t="str">
        <f>IFERROR(VLOOKUP(G727,'Taxonomy Sheet'!$A$3:$C$6,2,FALSE),"")</f>
        <v/>
      </c>
      <c r="L727" s="32" t="str">
        <f>IFERROR(VLOOKUP(F727,'Taxonomy Sheet'!$E$3:$F$5,2,FALSE),"")</f>
        <v/>
      </c>
      <c r="M727" s="32" t="str">
        <f t="shared" si="11"/>
        <v/>
      </c>
    </row>
    <row r="728" spans="11:13" ht="14.25" customHeight="1" x14ac:dyDescent="0.35">
      <c r="K728" s="32" t="str">
        <f>IFERROR(VLOOKUP(G728,'Taxonomy Sheet'!$A$3:$C$6,2,FALSE),"")</f>
        <v/>
      </c>
      <c r="L728" s="32" t="str">
        <f>IFERROR(VLOOKUP(F728,'Taxonomy Sheet'!$E$3:$F$5,2,FALSE),"")</f>
        <v/>
      </c>
      <c r="M728" s="32" t="str">
        <f t="shared" si="11"/>
        <v/>
      </c>
    </row>
    <row r="729" spans="11:13" ht="14.25" customHeight="1" x14ac:dyDescent="0.35">
      <c r="K729" s="32" t="str">
        <f>IFERROR(VLOOKUP(G729,'Taxonomy Sheet'!$A$3:$C$6,2,FALSE),"")</f>
        <v/>
      </c>
      <c r="L729" s="32" t="str">
        <f>IFERROR(VLOOKUP(F729,'Taxonomy Sheet'!$E$3:$F$5,2,FALSE),"")</f>
        <v/>
      </c>
      <c r="M729" s="32" t="str">
        <f t="shared" si="11"/>
        <v/>
      </c>
    </row>
    <row r="730" spans="11:13" ht="14.25" customHeight="1" x14ac:dyDescent="0.35">
      <c r="K730" s="32" t="str">
        <f>IFERROR(VLOOKUP(G730,'Taxonomy Sheet'!$A$3:$C$6,2,FALSE),"")</f>
        <v/>
      </c>
      <c r="L730" s="32" t="str">
        <f>IFERROR(VLOOKUP(F730,'Taxonomy Sheet'!$E$3:$F$5,2,FALSE),"")</f>
        <v/>
      </c>
      <c r="M730" s="32" t="str">
        <f t="shared" si="11"/>
        <v/>
      </c>
    </row>
    <row r="731" spans="11:13" ht="14.25" customHeight="1" x14ac:dyDescent="0.35">
      <c r="K731" s="32" t="str">
        <f>IFERROR(VLOOKUP(G731,'Taxonomy Sheet'!$A$3:$C$6,2,FALSE),"")</f>
        <v/>
      </c>
      <c r="L731" s="32" t="str">
        <f>IFERROR(VLOOKUP(F731,'Taxonomy Sheet'!$E$3:$F$5,2,FALSE),"")</f>
        <v/>
      </c>
      <c r="M731" s="32" t="str">
        <f t="shared" si="11"/>
        <v/>
      </c>
    </row>
    <row r="732" spans="11:13" ht="14.25" customHeight="1" x14ac:dyDescent="0.35">
      <c r="K732" s="32" t="str">
        <f>IFERROR(VLOOKUP(G732,'Taxonomy Sheet'!$A$3:$C$6,2,FALSE),"")</f>
        <v/>
      </c>
      <c r="L732" s="32" t="str">
        <f>IFERROR(VLOOKUP(F732,'Taxonomy Sheet'!$E$3:$F$5,2,FALSE),"")</f>
        <v/>
      </c>
      <c r="M732" s="32" t="str">
        <f t="shared" si="11"/>
        <v/>
      </c>
    </row>
    <row r="733" spans="11:13" ht="14.25" customHeight="1" x14ac:dyDescent="0.35">
      <c r="K733" s="32" t="str">
        <f>IFERROR(VLOOKUP(G733,'Taxonomy Sheet'!$A$3:$C$6,2,FALSE),"")</f>
        <v/>
      </c>
      <c r="L733" s="32" t="str">
        <f>IFERROR(VLOOKUP(F733,'Taxonomy Sheet'!$E$3:$F$5,2,FALSE),"")</f>
        <v/>
      </c>
      <c r="M733" s="32" t="str">
        <f t="shared" si="11"/>
        <v/>
      </c>
    </row>
    <row r="734" spans="11:13" ht="14.25" customHeight="1" x14ac:dyDescent="0.35">
      <c r="K734" s="32" t="str">
        <f>IFERROR(VLOOKUP(G734,'Taxonomy Sheet'!$A$3:$C$6,2,FALSE),"")</f>
        <v/>
      </c>
      <c r="L734" s="32" t="str">
        <f>IFERROR(VLOOKUP(F734,'Taxonomy Sheet'!$E$3:$F$5,2,FALSE),"")</f>
        <v/>
      </c>
      <c r="M734" s="32" t="str">
        <f t="shared" si="11"/>
        <v/>
      </c>
    </row>
    <row r="735" spans="11:13" ht="14.25" customHeight="1" x14ac:dyDescent="0.35">
      <c r="K735" s="32" t="str">
        <f>IFERROR(VLOOKUP(G735,'Taxonomy Sheet'!$A$3:$C$6,2,FALSE),"")</f>
        <v/>
      </c>
      <c r="L735" s="32" t="str">
        <f>IFERROR(VLOOKUP(F735,'Taxonomy Sheet'!$E$3:$F$5,2,FALSE),"")</f>
        <v/>
      </c>
      <c r="M735" s="32" t="str">
        <f t="shared" si="11"/>
        <v/>
      </c>
    </row>
    <row r="736" spans="11:13" ht="14.25" customHeight="1" x14ac:dyDescent="0.35">
      <c r="K736" s="32" t="str">
        <f>IFERROR(VLOOKUP(G736,'Taxonomy Sheet'!$A$3:$C$6,2,FALSE),"")</f>
        <v/>
      </c>
      <c r="L736" s="32" t="str">
        <f>IFERROR(VLOOKUP(F736,'Taxonomy Sheet'!$E$3:$F$5,2,FALSE),"")</f>
        <v/>
      </c>
      <c r="M736" s="32" t="str">
        <f t="shared" si="11"/>
        <v/>
      </c>
    </row>
    <row r="737" spans="11:13" ht="14.25" customHeight="1" x14ac:dyDescent="0.35">
      <c r="K737" s="32" t="str">
        <f>IFERROR(VLOOKUP(G737,'Taxonomy Sheet'!$A$3:$C$6,2,FALSE),"")</f>
        <v/>
      </c>
      <c r="L737" s="32" t="str">
        <f>IFERROR(VLOOKUP(F737,'Taxonomy Sheet'!$E$3:$F$5,2,FALSE),"")</f>
        <v/>
      </c>
      <c r="M737" s="32" t="str">
        <f t="shared" si="11"/>
        <v/>
      </c>
    </row>
    <row r="738" spans="11:13" ht="14.25" customHeight="1" x14ac:dyDescent="0.35">
      <c r="K738" s="32" t="str">
        <f>IFERROR(VLOOKUP(G738,'Taxonomy Sheet'!$A$3:$C$6,2,FALSE),"")</f>
        <v/>
      </c>
      <c r="L738" s="32" t="str">
        <f>IFERROR(VLOOKUP(F738,'Taxonomy Sheet'!$E$3:$F$5,2,FALSE),"")</f>
        <v/>
      </c>
      <c r="M738" s="32" t="str">
        <f t="shared" si="11"/>
        <v/>
      </c>
    </row>
    <row r="739" spans="11:13" ht="14.25" customHeight="1" x14ac:dyDescent="0.35">
      <c r="K739" s="32" t="str">
        <f>IFERROR(VLOOKUP(G739,'Taxonomy Sheet'!$A$3:$C$6,2,FALSE),"")</f>
        <v/>
      </c>
      <c r="L739" s="32" t="str">
        <f>IFERROR(VLOOKUP(F739,'Taxonomy Sheet'!$E$3:$F$5,2,FALSE),"")</f>
        <v/>
      </c>
      <c r="M739" s="32" t="str">
        <f t="shared" si="11"/>
        <v/>
      </c>
    </row>
    <row r="740" spans="11:13" ht="14.25" customHeight="1" x14ac:dyDescent="0.35">
      <c r="K740" s="32" t="str">
        <f>IFERROR(VLOOKUP(G740,'Taxonomy Sheet'!$A$3:$C$6,2,FALSE),"")</f>
        <v/>
      </c>
      <c r="L740" s="32" t="str">
        <f>IFERROR(VLOOKUP(F740,'Taxonomy Sheet'!$E$3:$F$5,2,FALSE),"")</f>
        <v/>
      </c>
      <c r="M740" s="32" t="str">
        <f t="shared" si="11"/>
        <v/>
      </c>
    </row>
    <row r="741" spans="11:13" ht="14.25" customHeight="1" x14ac:dyDescent="0.35">
      <c r="K741" s="32" t="str">
        <f>IFERROR(VLOOKUP(G741,'Taxonomy Sheet'!$A$3:$C$6,2,FALSE),"")</f>
        <v/>
      </c>
      <c r="L741" s="32" t="str">
        <f>IFERROR(VLOOKUP(F741,'Taxonomy Sheet'!$E$3:$F$5,2,FALSE),"")</f>
        <v/>
      </c>
      <c r="M741" s="32" t="str">
        <f t="shared" si="11"/>
        <v/>
      </c>
    </row>
    <row r="742" spans="11:13" ht="14.25" customHeight="1" x14ac:dyDescent="0.35">
      <c r="K742" s="32" t="str">
        <f>IFERROR(VLOOKUP(G742,'Taxonomy Sheet'!$A$3:$C$6,2,FALSE),"")</f>
        <v/>
      </c>
      <c r="L742" s="32" t="str">
        <f>IFERROR(VLOOKUP(F742,'Taxonomy Sheet'!$E$3:$F$5,2,FALSE),"")</f>
        <v/>
      </c>
      <c r="M742" s="32" t="str">
        <f t="shared" si="11"/>
        <v/>
      </c>
    </row>
    <row r="743" spans="11:13" ht="14.25" customHeight="1" x14ac:dyDescent="0.35">
      <c r="K743" s="32" t="str">
        <f>IFERROR(VLOOKUP(G743,'Taxonomy Sheet'!$A$3:$C$6,2,FALSE),"")</f>
        <v/>
      </c>
      <c r="L743" s="32" t="str">
        <f>IFERROR(VLOOKUP(F743,'Taxonomy Sheet'!$E$3:$F$5,2,FALSE),"")</f>
        <v/>
      </c>
      <c r="M743" s="32" t="str">
        <f t="shared" si="11"/>
        <v/>
      </c>
    </row>
    <row r="744" spans="11:13" ht="14.25" customHeight="1" x14ac:dyDescent="0.35">
      <c r="K744" s="32" t="str">
        <f>IFERROR(VLOOKUP(G744,'Taxonomy Sheet'!$A$3:$C$6,2,FALSE),"")</f>
        <v/>
      </c>
      <c r="L744" s="32" t="str">
        <f>IFERROR(VLOOKUP(F744,'Taxonomy Sheet'!$E$3:$F$5,2,FALSE),"")</f>
        <v/>
      </c>
      <c r="M744" s="32" t="str">
        <f t="shared" si="11"/>
        <v/>
      </c>
    </row>
    <row r="745" spans="11:13" ht="14.25" customHeight="1" x14ac:dyDescent="0.35">
      <c r="K745" s="32" t="str">
        <f>IFERROR(VLOOKUP(G745,'Taxonomy Sheet'!$A$3:$C$6,2,FALSE),"")</f>
        <v/>
      </c>
      <c r="L745" s="32" t="str">
        <f>IFERROR(VLOOKUP(F745,'Taxonomy Sheet'!$E$3:$F$5,2,FALSE),"")</f>
        <v/>
      </c>
      <c r="M745" s="32" t="str">
        <f t="shared" si="11"/>
        <v/>
      </c>
    </row>
    <row r="746" spans="11:13" ht="14.25" customHeight="1" x14ac:dyDescent="0.35">
      <c r="K746" s="32" t="str">
        <f>IFERROR(VLOOKUP(G746,'Taxonomy Sheet'!$A$3:$C$6,2,FALSE),"")</f>
        <v/>
      </c>
      <c r="L746" s="32" t="str">
        <f>IFERROR(VLOOKUP(F746,'Taxonomy Sheet'!$E$3:$F$5,2,FALSE),"")</f>
        <v/>
      </c>
      <c r="M746" s="32" t="str">
        <f t="shared" si="11"/>
        <v/>
      </c>
    </row>
    <row r="747" spans="11:13" ht="14.25" customHeight="1" x14ac:dyDescent="0.35">
      <c r="K747" s="32" t="str">
        <f>IFERROR(VLOOKUP(G747,'Taxonomy Sheet'!$A$3:$C$6,2,FALSE),"")</f>
        <v/>
      </c>
      <c r="L747" s="32" t="str">
        <f>IFERROR(VLOOKUP(F747,'Taxonomy Sheet'!$E$3:$F$5,2,FALSE),"")</f>
        <v/>
      </c>
      <c r="M747" s="32" t="str">
        <f t="shared" si="11"/>
        <v/>
      </c>
    </row>
    <row r="748" spans="11:13" ht="14.25" customHeight="1" x14ac:dyDescent="0.35">
      <c r="K748" s="32" t="str">
        <f>IFERROR(VLOOKUP(G748,'Taxonomy Sheet'!$A$3:$C$6,2,FALSE),"")</f>
        <v/>
      </c>
      <c r="L748" s="32" t="str">
        <f>IFERROR(VLOOKUP(F748,'Taxonomy Sheet'!$E$3:$F$5,2,FALSE),"")</f>
        <v/>
      </c>
      <c r="M748" s="32" t="str">
        <f t="shared" si="11"/>
        <v/>
      </c>
    </row>
    <row r="749" spans="11:13" ht="14.25" customHeight="1" x14ac:dyDescent="0.35">
      <c r="K749" s="32" t="str">
        <f>IFERROR(VLOOKUP(G749,'Taxonomy Sheet'!$A$3:$C$6,2,FALSE),"")</f>
        <v/>
      </c>
      <c r="L749" s="32" t="str">
        <f>IFERROR(VLOOKUP(F749,'Taxonomy Sheet'!$E$3:$F$5,2,FALSE),"")</f>
        <v/>
      </c>
      <c r="M749" s="32" t="str">
        <f t="shared" si="11"/>
        <v/>
      </c>
    </row>
    <row r="750" spans="11:13" ht="14.25" customHeight="1" x14ac:dyDescent="0.35">
      <c r="K750" s="32" t="str">
        <f>IFERROR(VLOOKUP(G750,'Taxonomy Sheet'!$A$3:$C$6,2,FALSE),"")</f>
        <v/>
      </c>
      <c r="L750" s="32" t="str">
        <f>IFERROR(VLOOKUP(F750,'Taxonomy Sheet'!$E$3:$F$5,2,FALSE),"")</f>
        <v/>
      </c>
      <c r="M750" s="32" t="str">
        <f t="shared" si="11"/>
        <v/>
      </c>
    </row>
    <row r="751" spans="11:13" ht="14.25" customHeight="1" x14ac:dyDescent="0.35">
      <c r="K751" s="32" t="str">
        <f>IFERROR(VLOOKUP(G751,'Taxonomy Sheet'!$A$3:$C$6,2,FALSE),"")</f>
        <v/>
      </c>
      <c r="L751" s="32" t="str">
        <f>IFERROR(VLOOKUP(F751,'Taxonomy Sheet'!$E$3:$F$5,2,FALSE),"")</f>
        <v/>
      </c>
      <c r="M751" s="32" t="str">
        <f t="shared" si="11"/>
        <v/>
      </c>
    </row>
    <row r="752" spans="11:13" ht="14.25" customHeight="1" x14ac:dyDescent="0.35">
      <c r="K752" s="32" t="str">
        <f>IFERROR(VLOOKUP(G752,'Taxonomy Sheet'!$A$3:$C$6,2,FALSE),"")</f>
        <v/>
      </c>
      <c r="L752" s="32" t="str">
        <f>IFERROR(VLOOKUP(F752,'Taxonomy Sheet'!$E$3:$F$5,2,FALSE),"")</f>
        <v/>
      </c>
      <c r="M752" s="32" t="str">
        <f t="shared" si="11"/>
        <v/>
      </c>
    </row>
    <row r="753" spans="11:13" ht="14.25" customHeight="1" x14ac:dyDescent="0.35">
      <c r="K753" s="32" t="str">
        <f>IFERROR(VLOOKUP(G753,'Taxonomy Sheet'!$A$3:$C$6,2,FALSE),"")</f>
        <v/>
      </c>
      <c r="L753" s="32" t="str">
        <f>IFERROR(VLOOKUP(F753,'Taxonomy Sheet'!$E$3:$F$5,2,FALSE),"")</f>
        <v/>
      </c>
      <c r="M753" s="32" t="str">
        <f t="shared" si="11"/>
        <v/>
      </c>
    </row>
    <row r="754" spans="11:13" ht="14.25" customHeight="1" x14ac:dyDescent="0.35">
      <c r="K754" s="32" t="str">
        <f>IFERROR(VLOOKUP(G754,'Taxonomy Sheet'!$A$3:$C$6,2,FALSE),"")</f>
        <v/>
      </c>
      <c r="L754" s="32" t="str">
        <f>IFERROR(VLOOKUP(F754,'Taxonomy Sheet'!$E$3:$F$5,2,FALSE),"")</f>
        <v/>
      </c>
      <c r="M754" s="32" t="str">
        <f t="shared" si="11"/>
        <v/>
      </c>
    </row>
    <row r="755" spans="11:13" ht="14.25" customHeight="1" x14ac:dyDescent="0.35">
      <c r="K755" s="32" t="str">
        <f>IFERROR(VLOOKUP(G755,'Taxonomy Sheet'!$A$3:$C$6,2,FALSE),"")</f>
        <v/>
      </c>
      <c r="L755" s="32" t="str">
        <f>IFERROR(VLOOKUP(F755,'Taxonomy Sheet'!$E$3:$F$5,2,FALSE),"")</f>
        <v/>
      </c>
      <c r="M755" s="32" t="str">
        <f t="shared" si="11"/>
        <v/>
      </c>
    </row>
    <row r="756" spans="11:13" ht="14.25" customHeight="1" x14ac:dyDescent="0.35">
      <c r="K756" s="32" t="str">
        <f>IFERROR(VLOOKUP(G756,'Taxonomy Sheet'!$A$3:$C$6,2,FALSE),"")</f>
        <v/>
      </c>
      <c r="L756" s="32" t="str">
        <f>IFERROR(VLOOKUP(F756,'Taxonomy Sheet'!$E$3:$F$5,2,FALSE),"")</f>
        <v/>
      </c>
      <c r="M756" s="32" t="str">
        <f t="shared" si="11"/>
        <v/>
      </c>
    </row>
    <row r="757" spans="11:13" ht="14.25" customHeight="1" x14ac:dyDescent="0.35">
      <c r="K757" s="32" t="str">
        <f>IFERROR(VLOOKUP(G757,'Taxonomy Sheet'!$A$3:$C$6,2,FALSE),"")</f>
        <v/>
      </c>
      <c r="L757" s="32" t="str">
        <f>IFERROR(VLOOKUP(F757,'Taxonomy Sheet'!$E$3:$F$5,2,FALSE),"")</f>
        <v/>
      </c>
      <c r="M757" s="32" t="str">
        <f t="shared" si="11"/>
        <v/>
      </c>
    </row>
    <row r="758" spans="11:13" ht="14.25" customHeight="1" x14ac:dyDescent="0.35">
      <c r="K758" s="32" t="str">
        <f>IFERROR(VLOOKUP(G758,'Taxonomy Sheet'!$A$3:$C$6,2,FALSE),"")</f>
        <v/>
      </c>
      <c r="L758" s="32" t="str">
        <f>IFERROR(VLOOKUP(F758,'Taxonomy Sheet'!$E$3:$F$5,2,FALSE),"")</f>
        <v/>
      </c>
      <c r="M758" s="32" t="str">
        <f t="shared" si="11"/>
        <v/>
      </c>
    </row>
    <row r="759" spans="11:13" ht="14.25" customHeight="1" x14ac:dyDescent="0.35">
      <c r="K759" s="32" t="str">
        <f>IFERROR(VLOOKUP(G759,'Taxonomy Sheet'!$A$3:$C$6,2,FALSE),"")</f>
        <v/>
      </c>
      <c r="L759" s="32" t="str">
        <f>IFERROR(VLOOKUP(F759,'Taxonomy Sheet'!$E$3:$F$5,2,FALSE),"")</f>
        <v/>
      </c>
      <c r="M759" s="32" t="str">
        <f t="shared" si="11"/>
        <v/>
      </c>
    </row>
    <row r="760" spans="11:13" ht="14.25" customHeight="1" x14ac:dyDescent="0.35">
      <c r="K760" s="32" t="str">
        <f>IFERROR(VLOOKUP(G760,'Taxonomy Sheet'!$A$3:$C$6,2,FALSE),"")</f>
        <v/>
      </c>
      <c r="L760" s="32" t="str">
        <f>IFERROR(VLOOKUP(F760,'Taxonomy Sheet'!$E$3:$F$5,2,FALSE),"")</f>
        <v/>
      </c>
      <c r="M760" s="32" t="str">
        <f t="shared" si="11"/>
        <v/>
      </c>
    </row>
    <row r="761" spans="11:13" ht="14.25" customHeight="1" x14ac:dyDescent="0.35">
      <c r="K761" s="32" t="str">
        <f>IFERROR(VLOOKUP(G761,'Taxonomy Sheet'!$A$3:$C$6,2,FALSE),"")</f>
        <v/>
      </c>
      <c r="L761" s="32" t="str">
        <f>IFERROR(VLOOKUP(F761,'Taxonomy Sheet'!$E$3:$F$5,2,FALSE),"")</f>
        <v/>
      </c>
      <c r="M761" s="32" t="str">
        <f t="shared" si="11"/>
        <v/>
      </c>
    </row>
    <row r="762" spans="11:13" ht="14.25" customHeight="1" x14ac:dyDescent="0.35">
      <c r="K762" s="32" t="str">
        <f>IFERROR(VLOOKUP(G762,'Taxonomy Sheet'!$A$3:$C$6,2,FALSE),"")</f>
        <v/>
      </c>
      <c r="L762" s="32" t="str">
        <f>IFERROR(VLOOKUP(F762,'Taxonomy Sheet'!$E$3:$F$5,2,FALSE),"")</f>
        <v/>
      </c>
      <c r="M762" s="32" t="str">
        <f t="shared" si="11"/>
        <v/>
      </c>
    </row>
    <row r="763" spans="11:13" ht="14.25" customHeight="1" x14ac:dyDescent="0.35">
      <c r="K763" s="32" t="str">
        <f>IFERROR(VLOOKUP(G763,'Taxonomy Sheet'!$A$3:$C$6,2,FALSE),"")</f>
        <v/>
      </c>
      <c r="L763" s="32" t="str">
        <f>IFERROR(VLOOKUP(F763,'Taxonomy Sheet'!$E$3:$F$5,2,FALSE),"")</f>
        <v/>
      </c>
      <c r="M763" s="32" t="str">
        <f t="shared" si="11"/>
        <v/>
      </c>
    </row>
    <row r="764" spans="11:13" ht="14.25" customHeight="1" x14ac:dyDescent="0.35">
      <c r="K764" s="32" t="str">
        <f>IFERROR(VLOOKUP(G764,'Taxonomy Sheet'!$A$3:$C$6,2,FALSE),"")</f>
        <v/>
      </c>
      <c r="L764" s="32" t="str">
        <f>IFERROR(VLOOKUP(F764,'Taxonomy Sheet'!$E$3:$F$5,2,FALSE),"")</f>
        <v/>
      </c>
      <c r="M764" s="32" t="str">
        <f t="shared" si="11"/>
        <v/>
      </c>
    </row>
    <row r="765" spans="11:13" ht="14.25" customHeight="1" x14ac:dyDescent="0.35">
      <c r="K765" s="32" t="str">
        <f>IFERROR(VLOOKUP(G765,'Taxonomy Sheet'!$A$3:$C$6,2,FALSE),"")</f>
        <v/>
      </c>
      <c r="L765" s="32" t="str">
        <f>IFERROR(VLOOKUP(F765,'Taxonomy Sheet'!$E$3:$F$5,2,FALSE),"")</f>
        <v/>
      </c>
      <c r="M765" s="32" t="str">
        <f t="shared" si="11"/>
        <v/>
      </c>
    </row>
    <row r="766" spans="11:13" ht="14.25" customHeight="1" x14ac:dyDescent="0.35">
      <c r="K766" s="32" t="str">
        <f>IFERROR(VLOOKUP(G766,'Taxonomy Sheet'!$A$3:$C$6,2,FALSE),"")</f>
        <v/>
      </c>
      <c r="L766" s="32" t="str">
        <f>IFERROR(VLOOKUP(F766,'Taxonomy Sheet'!$E$3:$F$5,2,FALSE),"")</f>
        <v/>
      </c>
      <c r="M766" s="32" t="str">
        <f t="shared" si="11"/>
        <v/>
      </c>
    </row>
    <row r="767" spans="11:13" ht="14.25" customHeight="1" x14ac:dyDescent="0.35">
      <c r="K767" s="32" t="str">
        <f>IFERROR(VLOOKUP(G767,'Taxonomy Sheet'!$A$3:$C$6,2,FALSE),"")</f>
        <v/>
      </c>
      <c r="L767" s="32" t="str">
        <f>IFERROR(VLOOKUP(F767,'Taxonomy Sheet'!$E$3:$F$5,2,FALSE),"")</f>
        <v/>
      </c>
      <c r="M767" s="32" t="str">
        <f t="shared" si="11"/>
        <v/>
      </c>
    </row>
    <row r="768" spans="11:13" ht="14.25" customHeight="1" x14ac:dyDescent="0.35">
      <c r="K768" s="32" t="str">
        <f>IFERROR(VLOOKUP(G768,'Taxonomy Sheet'!$A$3:$C$6,2,FALSE),"")</f>
        <v/>
      </c>
      <c r="L768" s="32" t="str">
        <f>IFERROR(VLOOKUP(F768,'Taxonomy Sheet'!$E$3:$F$5,2,FALSE),"")</f>
        <v/>
      </c>
      <c r="M768" s="32" t="str">
        <f t="shared" si="11"/>
        <v/>
      </c>
    </row>
    <row r="769" spans="11:13" ht="14.25" customHeight="1" x14ac:dyDescent="0.35">
      <c r="K769" s="32" t="str">
        <f>IFERROR(VLOOKUP(G769,'Taxonomy Sheet'!$A$3:$C$6,2,FALSE),"")</f>
        <v/>
      </c>
      <c r="L769" s="32" t="str">
        <f>IFERROR(VLOOKUP(F769,'Taxonomy Sheet'!$E$3:$F$5,2,FALSE),"")</f>
        <v/>
      </c>
      <c r="M769" s="32" t="str">
        <f t="shared" si="11"/>
        <v/>
      </c>
    </row>
    <row r="770" spans="11:13" ht="14.25" customHeight="1" x14ac:dyDescent="0.35">
      <c r="K770" s="32" t="str">
        <f>IFERROR(VLOOKUP(G770,'Taxonomy Sheet'!$A$3:$C$6,2,FALSE),"")</f>
        <v/>
      </c>
      <c r="L770" s="32" t="str">
        <f>IFERROR(VLOOKUP(F770,'Taxonomy Sheet'!$E$3:$F$5,2,FALSE),"")</f>
        <v/>
      </c>
      <c r="M770" s="32" t="str">
        <f t="shared" si="11"/>
        <v/>
      </c>
    </row>
    <row r="771" spans="11:13" ht="14.25" customHeight="1" x14ac:dyDescent="0.35">
      <c r="K771" s="32" t="str">
        <f>IFERROR(VLOOKUP(G771,'Taxonomy Sheet'!$A$3:$C$6,2,FALSE),"")</f>
        <v/>
      </c>
      <c r="L771" s="32" t="str">
        <f>IFERROR(VLOOKUP(F771,'Taxonomy Sheet'!$E$3:$F$5,2,FALSE),"")</f>
        <v/>
      </c>
      <c r="M771" s="32" t="str">
        <f t="shared" si="11"/>
        <v/>
      </c>
    </row>
    <row r="772" spans="11:13" ht="14.25" customHeight="1" x14ac:dyDescent="0.35">
      <c r="K772" s="32" t="str">
        <f>IFERROR(VLOOKUP(G772,'Taxonomy Sheet'!$A$3:$C$6,2,FALSE),"")</f>
        <v/>
      </c>
      <c r="L772" s="32" t="str">
        <f>IFERROR(VLOOKUP(F772,'Taxonomy Sheet'!$E$3:$F$5,2,FALSE),"")</f>
        <v/>
      </c>
      <c r="M772" s="32" t="str">
        <f t="shared" si="11"/>
        <v/>
      </c>
    </row>
    <row r="773" spans="11:13" ht="14.25" customHeight="1" x14ac:dyDescent="0.35">
      <c r="K773" s="32" t="str">
        <f>IFERROR(VLOOKUP(G773,'Taxonomy Sheet'!$A$3:$C$6,2,FALSE),"")</f>
        <v/>
      </c>
      <c r="L773" s="32" t="str">
        <f>IFERROR(VLOOKUP(F773,'Taxonomy Sheet'!$E$3:$F$5,2,FALSE),"")</f>
        <v/>
      </c>
      <c r="M773" s="32" t="str">
        <f t="shared" si="11"/>
        <v/>
      </c>
    </row>
    <row r="774" spans="11:13" ht="14.25" customHeight="1" x14ac:dyDescent="0.35">
      <c r="K774" s="32" t="str">
        <f>IFERROR(VLOOKUP(G774,'Taxonomy Sheet'!$A$3:$C$6,2,FALSE),"")</f>
        <v/>
      </c>
      <c r="L774" s="32" t="str">
        <f>IFERROR(VLOOKUP(F774,'Taxonomy Sheet'!$E$3:$F$5,2,FALSE),"")</f>
        <v/>
      </c>
      <c r="M774" s="32" t="str">
        <f t="shared" si="11"/>
        <v/>
      </c>
    </row>
    <row r="775" spans="11:13" ht="14.25" customHeight="1" x14ac:dyDescent="0.35">
      <c r="K775" s="32" t="str">
        <f>IFERROR(VLOOKUP(G775,'Taxonomy Sheet'!$A$3:$C$6,2,FALSE),"")</f>
        <v/>
      </c>
      <c r="L775" s="32" t="str">
        <f>IFERROR(VLOOKUP(F775,'Taxonomy Sheet'!$E$3:$F$5,2,FALSE),"")</f>
        <v/>
      </c>
      <c r="M775" s="32" t="str">
        <f t="shared" si="11"/>
        <v/>
      </c>
    </row>
    <row r="776" spans="11:13" ht="14.25" customHeight="1" x14ac:dyDescent="0.35">
      <c r="K776" s="32" t="str">
        <f>IFERROR(VLOOKUP(G776,'Taxonomy Sheet'!$A$3:$C$6,2,FALSE),"")</f>
        <v/>
      </c>
      <c r="L776" s="32" t="str">
        <f>IFERROR(VLOOKUP(F776,'Taxonomy Sheet'!$E$3:$F$5,2,FALSE),"")</f>
        <v/>
      </c>
      <c r="M776" s="32" t="str">
        <f t="shared" si="11"/>
        <v/>
      </c>
    </row>
    <row r="777" spans="11:13" ht="14.25" customHeight="1" x14ac:dyDescent="0.35">
      <c r="K777" s="32" t="str">
        <f>IFERROR(VLOOKUP(G777,'Taxonomy Sheet'!$A$3:$C$6,2,FALSE),"")</f>
        <v/>
      </c>
      <c r="L777" s="32" t="str">
        <f>IFERROR(VLOOKUP(F777,'Taxonomy Sheet'!$E$3:$F$5,2,FALSE),"")</f>
        <v/>
      </c>
      <c r="M777" s="32" t="str">
        <f t="shared" si="11"/>
        <v/>
      </c>
    </row>
    <row r="778" spans="11:13" ht="14.25" customHeight="1" x14ac:dyDescent="0.35">
      <c r="K778" s="32" t="str">
        <f>IFERROR(VLOOKUP(G778,'Taxonomy Sheet'!$A$3:$C$6,2,FALSE),"")</f>
        <v/>
      </c>
      <c r="L778" s="32" t="str">
        <f>IFERROR(VLOOKUP(F778,'Taxonomy Sheet'!$E$3:$F$5,2,FALSE),"")</f>
        <v/>
      </c>
      <c r="M778" s="32" t="str">
        <f t="shared" si="11"/>
        <v/>
      </c>
    </row>
    <row r="779" spans="11:13" ht="14.25" customHeight="1" x14ac:dyDescent="0.35">
      <c r="K779" s="32" t="str">
        <f>IFERROR(VLOOKUP(G779,'Taxonomy Sheet'!$A$3:$C$6,2,FALSE),"")</f>
        <v/>
      </c>
      <c r="L779" s="32" t="str">
        <f>IFERROR(VLOOKUP(F779,'Taxonomy Sheet'!$E$3:$F$5,2,FALSE),"")</f>
        <v/>
      </c>
      <c r="M779" s="32" t="str">
        <f t="shared" si="11"/>
        <v/>
      </c>
    </row>
    <row r="780" spans="11:13" ht="14.25" customHeight="1" x14ac:dyDescent="0.35">
      <c r="K780" s="32" t="str">
        <f>IFERROR(VLOOKUP(G780,'Taxonomy Sheet'!$A$3:$C$6,2,FALSE),"")</f>
        <v/>
      </c>
      <c r="L780" s="32" t="str">
        <f>IFERROR(VLOOKUP(F780,'Taxonomy Sheet'!$E$3:$F$5,2,FALSE),"")</f>
        <v/>
      </c>
      <c r="M780" s="32" t="str">
        <f t="shared" si="11"/>
        <v/>
      </c>
    </row>
    <row r="781" spans="11:13" ht="14.25" customHeight="1" x14ac:dyDescent="0.35">
      <c r="K781" s="32" t="str">
        <f>IFERROR(VLOOKUP(G781,'Taxonomy Sheet'!$A$3:$C$6,2,FALSE),"")</f>
        <v/>
      </c>
      <c r="L781" s="32" t="str">
        <f>IFERROR(VLOOKUP(F781,'Taxonomy Sheet'!$E$3:$F$5,2,FALSE),"")</f>
        <v/>
      </c>
      <c r="M781" s="32" t="str">
        <f t="shared" ref="M781:M844" si="12">IF(OR(K781="",L781=""),"",K781*L781)</f>
        <v/>
      </c>
    </row>
    <row r="782" spans="11:13" ht="14.25" customHeight="1" x14ac:dyDescent="0.35">
      <c r="K782" s="32" t="str">
        <f>IFERROR(VLOOKUP(G782,'Taxonomy Sheet'!$A$3:$C$6,2,FALSE),"")</f>
        <v/>
      </c>
      <c r="L782" s="32" t="str">
        <f>IFERROR(VLOOKUP(F782,'Taxonomy Sheet'!$E$3:$F$5,2,FALSE),"")</f>
        <v/>
      </c>
      <c r="M782" s="32" t="str">
        <f t="shared" si="12"/>
        <v/>
      </c>
    </row>
    <row r="783" spans="11:13" ht="14.25" customHeight="1" x14ac:dyDescent="0.35">
      <c r="K783" s="32" t="str">
        <f>IFERROR(VLOOKUP(G783,'Taxonomy Sheet'!$A$3:$C$6,2,FALSE),"")</f>
        <v/>
      </c>
      <c r="L783" s="32" t="str">
        <f>IFERROR(VLOOKUP(F783,'Taxonomy Sheet'!$E$3:$F$5,2,FALSE),"")</f>
        <v/>
      </c>
      <c r="M783" s="32" t="str">
        <f t="shared" si="12"/>
        <v/>
      </c>
    </row>
    <row r="784" spans="11:13" ht="14.25" customHeight="1" x14ac:dyDescent="0.35">
      <c r="K784" s="32" t="str">
        <f>IFERROR(VLOOKUP(G784,'Taxonomy Sheet'!$A$3:$C$6,2,FALSE),"")</f>
        <v/>
      </c>
      <c r="L784" s="32" t="str">
        <f>IFERROR(VLOOKUP(F784,'Taxonomy Sheet'!$E$3:$F$5,2,FALSE),"")</f>
        <v/>
      </c>
      <c r="M784" s="32" t="str">
        <f t="shared" si="12"/>
        <v/>
      </c>
    </row>
    <row r="785" spans="11:13" ht="14.25" customHeight="1" x14ac:dyDescent="0.35">
      <c r="K785" s="32" t="str">
        <f>IFERROR(VLOOKUP(G785,'Taxonomy Sheet'!$A$3:$C$6,2,FALSE),"")</f>
        <v/>
      </c>
      <c r="L785" s="32" t="str">
        <f>IFERROR(VLOOKUP(F785,'Taxonomy Sheet'!$E$3:$F$5,2,FALSE),"")</f>
        <v/>
      </c>
      <c r="M785" s="32" t="str">
        <f t="shared" si="12"/>
        <v/>
      </c>
    </row>
    <row r="786" spans="11:13" ht="14.25" customHeight="1" x14ac:dyDescent="0.35">
      <c r="K786" s="32" t="str">
        <f>IFERROR(VLOOKUP(G786,'Taxonomy Sheet'!$A$3:$C$6,2,FALSE),"")</f>
        <v/>
      </c>
      <c r="L786" s="32" t="str">
        <f>IFERROR(VLOOKUP(F786,'Taxonomy Sheet'!$E$3:$F$5,2,FALSE),"")</f>
        <v/>
      </c>
      <c r="M786" s="32" t="str">
        <f t="shared" si="12"/>
        <v/>
      </c>
    </row>
    <row r="787" spans="11:13" ht="14.25" customHeight="1" x14ac:dyDescent="0.35">
      <c r="K787" s="32" t="str">
        <f>IFERROR(VLOOKUP(G787,'Taxonomy Sheet'!$A$3:$C$6,2,FALSE),"")</f>
        <v/>
      </c>
      <c r="L787" s="32" t="str">
        <f>IFERROR(VLOOKUP(F787,'Taxonomy Sheet'!$E$3:$F$5,2,FALSE),"")</f>
        <v/>
      </c>
      <c r="M787" s="32" t="str">
        <f t="shared" si="12"/>
        <v/>
      </c>
    </row>
    <row r="788" spans="11:13" ht="14.25" customHeight="1" x14ac:dyDescent="0.35">
      <c r="K788" s="32" t="str">
        <f>IFERROR(VLOOKUP(G788,'Taxonomy Sheet'!$A$3:$C$6,2,FALSE),"")</f>
        <v/>
      </c>
      <c r="L788" s="32" t="str">
        <f>IFERROR(VLOOKUP(F788,'Taxonomy Sheet'!$E$3:$F$5,2,FALSE),"")</f>
        <v/>
      </c>
      <c r="M788" s="32" t="str">
        <f t="shared" si="12"/>
        <v/>
      </c>
    </row>
    <row r="789" spans="11:13" ht="14.25" customHeight="1" x14ac:dyDescent="0.35">
      <c r="K789" s="32" t="str">
        <f>IFERROR(VLOOKUP(G789,'Taxonomy Sheet'!$A$3:$C$6,2,FALSE),"")</f>
        <v/>
      </c>
      <c r="L789" s="32" t="str">
        <f>IFERROR(VLOOKUP(F789,'Taxonomy Sheet'!$E$3:$F$5,2,FALSE),"")</f>
        <v/>
      </c>
      <c r="M789" s="32" t="str">
        <f t="shared" si="12"/>
        <v/>
      </c>
    </row>
    <row r="790" spans="11:13" ht="14.25" customHeight="1" x14ac:dyDescent="0.35">
      <c r="K790" s="32" t="str">
        <f>IFERROR(VLOOKUP(G790,'Taxonomy Sheet'!$A$3:$C$6,2,FALSE),"")</f>
        <v/>
      </c>
      <c r="L790" s="32" t="str">
        <f>IFERROR(VLOOKUP(F790,'Taxonomy Sheet'!$E$3:$F$5,2,FALSE),"")</f>
        <v/>
      </c>
      <c r="M790" s="32" t="str">
        <f t="shared" si="12"/>
        <v/>
      </c>
    </row>
    <row r="791" spans="11:13" ht="14.25" customHeight="1" x14ac:dyDescent="0.35">
      <c r="K791" s="32" t="str">
        <f>IFERROR(VLOOKUP(G791,'Taxonomy Sheet'!$A$3:$C$6,2,FALSE),"")</f>
        <v/>
      </c>
      <c r="L791" s="32" t="str">
        <f>IFERROR(VLOOKUP(F791,'Taxonomy Sheet'!$E$3:$F$5,2,FALSE),"")</f>
        <v/>
      </c>
      <c r="M791" s="32" t="str">
        <f t="shared" si="12"/>
        <v/>
      </c>
    </row>
    <row r="792" spans="11:13" ht="14.25" customHeight="1" x14ac:dyDescent="0.35">
      <c r="K792" s="32" t="str">
        <f>IFERROR(VLOOKUP(G792,'Taxonomy Sheet'!$A$3:$C$6,2,FALSE),"")</f>
        <v/>
      </c>
      <c r="L792" s="32" t="str">
        <f>IFERROR(VLOOKUP(F792,'Taxonomy Sheet'!$E$3:$F$5,2,FALSE),"")</f>
        <v/>
      </c>
      <c r="M792" s="32" t="str">
        <f t="shared" si="12"/>
        <v/>
      </c>
    </row>
    <row r="793" spans="11:13" ht="14.25" customHeight="1" x14ac:dyDescent="0.35">
      <c r="K793" s="32" t="str">
        <f>IFERROR(VLOOKUP(G793,'Taxonomy Sheet'!$A$3:$C$6,2,FALSE),"")</f>
        <v/>
      </c>
      <c r="L793" s="32" t="str">
        <f>IFERROR(VLOOKUP(F793,'Taxonomy Sheet'!$E$3:$F$5,2,FALSE),"")</f>
        <v/>
      </c>
      <c r="M793" s="32" t="str">
        <f t="shared" si="12"/>
        <v/>
      </c>
    </row>
    <row r="794" spans="11:13" ht="14.25" customHeight="1" x14ac:dyDescent="0.35">
      <c r="K794" s="32" t="str">
        <f>IFERROR(VLOOKUP(G794,'Taxonomy Sheet'!$A$3:$C$6,2,FALSE),"")</f>
        <v/>
      </c>
      <c r="L794" s="32" t="str">
        <f>IFERROR(VLOOKUP(F794,'Taxonomy Sheet'!$E$3:$F$5,2,FALSE),"")</f>
        <v/>
      </c>
      <c r="M794" s="32" t="str">
        <f t="shared" si="12"/>
        <v/>
      </c>
    </row>
    <row r="795" spans="11:13" ht="14.25" customHeight="1" x14ac:dyDescent="0.35">
      <c r="K795" s="32" t="str">
        <f>IFERROR(VLOOKUP(G795,'Taxonomy Sheet'!$A$3:$C$6,2,FALSE),"")</f>
        <v/>
      </c>
      <c r="L795" s="32" t="str">
        <f>IFERROR(VLOOKUP(F795,'Taxonomy Sheet'!$E$3:$F$5,2,FALSE),"")</f>
        <v/>
      </c>
      <c r="M795" s="32" t="str">
        <f t="shared" si="12"/>
        <v/>
      </c>
    </row>
    <row r="796" spans="11:13" ht="14.25" customHeight="1" x14ac:dyDescent="0.35">
      <c r="K796" s="32" t="str">
        <f>IFERROR(VLOOKUP(G796,'Taxonomy Sheet'!$A$3:$C$6,2,FALSE),"")</f>
        <v/>
      </c>
      <c r="L796" s="32" t="str">
        <f>IFERROR(VLOOKUP(F796,'Taxonomy Sheet'!$E$3:$F$5,2,FALSE),"")</f>
        <v/>
      </c>
      <c r="M796" s="32" t="str">
        <f t="shared" si="12"/>
        <v/>
      </c>
    </row>
    <row r="797" spans="11:13" ht="14.25" customHeight="1" x14ac:dyDescent="0.35">
      <c r="K797" s="32" t="str">
        <f>IFERROR(VLOOKUP(G797,'Taxonomy Sheet'!$A$3:$C$6,2,FALSE),"")</f>
        <v/>
      </c>
      <c r="L797" s="32" t="str">
        <f>IFERROR(VLOOKUP(F797,'Taxonomy Sheet'!$E$3:$F$5,2,FALSE),"")</f>
        <v/>
      </c>
      <c r="M797" s="32" t="str">
        <f t="shared" si="12"/>
        <v/>
      </c>
    </row>
    <row r="798" spans="11:13" ht="14.25" customHeight="1" x14ac:dyDescent="0.35">
      <c r="K798" s="32" t="str">
        <f>IFERROR(VLOOKUP(G798,'Taxonomy Sheet'!$A$3:$C$6,2,FALSE),"")</f>
        <v/>
      </c>
      <c r="L798" s="32" t="str">
        <f>IFERROR(VLOOKUP(F798,'Taxonomy Sheet'!$E$3:$F$5,2,FALSE),"")</f>
        <v/>
      </c>
      <c r="M798" s="32" t="str">
        <f t="shared" si="12"/>
        <v/>
      </c>
    </row>
    <row r="799" spans="11:13" ht="14.25" customHeight="1" x14ac:dyDescent="0.35">
      <c r="K799" s="32" t="str">
        <f>IFERROR(VLOOKUP(G799,'Taxonomy Sheet'!$A$3:$C$6,2,FALSE),"")</f>
        <v/>
      </c>
      <c r="L799" s="32" t="str">
        <f>IFERROR(VLOOKUP(F799,'Taxonomy Sheet'!$E$3:$F$5,2,FALSE),"")</f>
        <v/>
      </c>
      <c r="M799" s="32" t="str">
        <f t="shared" si="12"/>
        <v/>
      </c>
    </row>
    <row r="800" spans="11:13" ht="14.25" customHeight="1" x14ac:dyDescent="0.35">
      <c r="K800" s="32" t="str">
        <f>IFERROR(VLOOKUP(G800,'Taxonomy Sheet'!$A$3:$C$6,2,FALSE),"")</f>
        <v/>
      </c>
      <c r="L800" s="32" t="str">
        <f>IFERROR(VLOOKUP(F800,'Taxonomy Sheet'!$E$3:$F$5,2,FALSE),"")</f>
        <v/>
      </c>
      <c r="M800" s="32" t="str">
        <f t="shared" si="12"/>
        <v/>
      </c>
    </row>
    <row r="801" spans="11:13" ht="14.25" customHeight="1" x14ac:dyDescent="0.35">
      <c r="K801" s="32" t="str">
        <f>IFERROR(VLOOKUP(G801,'Taxonomy Sheet'!$A$3:$C$6,2,FALSE),"")</f>
        <v/>
      </c>
      <c r="L801" s="32" t="str">
        <f>IFERROR(VLOOKUP(F801,'Taxonomy Sheet'!$E$3:$F$5,2,FALSE),"")</f>
        <v/>
      </c>
      <c r="M801" s="32" t="str">
        <f t="shared" si="12"/>
        <v/>
      </c>
    </row>
    <row r="802" spans="11:13" ht="14.25" customHeight="1" x14ac:dyDescent="0.35">
      <c r="K802" s="32" t="str">
        <f>IFERROR(VLOOKUP(G802,'Taxonomy Sheet'!$A$3:$C$6,2,FALSE),"")</f>
        <v/>
      </c>
      <c r="L802" s="32" t="str">
        <f>IFERROR(VLOOKUP(F802,'Taxonomy Sheet'!$E$3:$F$5,2,FALSE),"")</f>
        <v/>
      </c>
      <c r="M802" s="32" t="str">
        <f t="shared" si="12"/>
        <v/>
      </c>
    </row>
    <row r="803" spans="11:13" ht="14.25" customHeight="1" x14ac:dyDescent="0.35">
      <c r="K803" s="32" t="str">
        <f>IFERROR(VLOOKUP(G803,'Taxonomy Sheet'!$A$3:$C$6,2,FALSE),"")</f>
        <v/>
      </c>
      <c r="L803" s="32" t="str">
        <f>IFERROR(VLOOKUP(F803,'Taxonomy Sheet'!$E$3:$F$5,2,FALSE),"")</f>
        <v/>
      </c>
      <c r="M803" s="32" t="str">
        <f t="shared" si="12"/>
        <v/>
      </c>
    </row>
    <row r="804" spans="11:13" ht="14.25" customHeight="1" x14ac:dyDescent="0.35">
      <c r="K804" s="32" t="str">
        <f>IFERROR(VLOOKUP(G804,'Taxonomy Sheet'!$A$3:$C$6,2,FALSE),"")</f>
        <v/>
      </c>
      <c r="L804" s="32" t="str">
        <f>IFERROR(VLOOKUP(F804,'Taxonomy Sheet'!$E$3:$F$5,2,FALSE),"")</f>
        <v/>
      </c>
      <c r="M804" s="32" t="str">
        <f t="shared" si="12"/>
        <v/>
      </c>
    </row>
    <row r="805" spans="11:13" ht="14.25" customHeight="1" x14ac:dyDescent="0.35">
      <c r="K805" s="32" t="str">
        <f>IFERROR(VLOOKUP(G805,'Taxonomy Sheet'!$A$3:$C$6,2,FALSE),"")</f>
        <v/>
      </c>
      <c r="L805" s="32" t="str">
        <f>IFERROR(VLOOKUP(F805,'Taxonomy Sheet'!$E$3:$F$5,2,FALSE),"")</f>
        <v/>
      </c>
      <c r="M805" s="32" t="str">
        <f t="shared" si="12"/>
        <v/>
      </c>
    </row>
    <row r="806" spans="11:13" ht="14.25" customHeight="1" x14ac:dyDescent="0.35">
      <c r="K806" s="32" t="str">
        <f>IFERROR(VLOOKUP(G806,'Taxonomy Sheet'!$A$3:$C$6,2,FALSE),"")</f>
        <v/>
      </c>
      <c r="L806" s="32" t="str">
        <f>IFERROR(VLOOKUP(F806,'Taxonomy Sheet'!$E$3:$F$5,2,FALSE),"")</f>
        <v/>
      </c>
      <c r="M806" s="32" t="str">
        <f t="shared" si="12"/>
        <v/>
      </c>
    </row>
    <row r="807" spans="11:13" ht="14.25" customHeight="1" x14ac:dyDescent="0.35">
      <c r="K807" s="32" t="str">
        <f>IFERROR(VLOOKUP(G807,'Taxonomy Sheet'!$A$3:$C$6,2,FALSE),"")</f>
        <v/>
      </c>
      <c r="L807" s="32" t="str">
        <f>IFERROR(VLOOKUP(F807,'Taxonomy Sheet'!$E$3:$F$5,2,FALSE),"")</f>
        <v/>
      </c>
      <c r="M807" s="32" t="str">
        <f t="shared" si="12"/>
        <v/>
      </c>
    </row>
    <row r="808" spans="11:13" ht="14.25" customHeight="1" x14ac:dyDescent="0.35">
      <c r="K808" s="32" t="str">
        <f>IFERROR(VLOOKUP(G808,'Taxonomy Sheet'!$A$3:$C$6,2,FALSE),"")</f>
        <v/>
      </c>
      <c r="L808" s="32" t="str">
        <f>IFERROR(VLOOKUP(F808,'Taxonomy Sheet'!$E$3:$F$5,2,FALSE),"")</f>
        <v/>
      </c>
      <c r="M808" s="32" t="str">
        <f t="shared" si="12"/>
        <v/>
      </c>
    </row>
    <row r="809" spans="11:13" ht="14.25" customHeight="1" x14ac:dyDescent="0.35">
      <c r="K809" s="32" t="str">
        <f>IFERROR(VLOOKUP(G809,'Taxonomy Sheet'!$A$3:$C$6,2,FALSE),"")</f>
        <v/>
      </c>
      <c r="L809" s="32" t="str">
        <f>IFERROR(VLOOKUP(F809,'Taxonomy Sheet'!$E$3:$F$5,2,FALSE),"")</f>
        <v/>
      </c>
      <c r="M809" s="32" t="str">
        <f t="shared" si="12"/>
        <v/>
      </c>
    </row>
    <row r="810" spans="11:13" ht="14.25" customHeight="1" x14ac:dyDescent="0.35">
      <c r="K810" s="32" t="str">
        <f>IFERROR(VLOOKUP(G810,'Taxonomy Sheet'!$A$3:$C$6,2,FALSE),"")</f>
        <v/>
      </c>
      <c r="L810" s="32" t="str">
        <f>IFERROR(VLOOKUP(F810,'Taxonomy Sheet'!$E$3:$F$5,2,FALSE),"")</f>
        <v/>
      </c>
      <c r="M810" s="32" t="str">
        <f t="shared" si="12"/>
        <v/>
      </c>
    </row>
    <row r="811" spans="11:13" ht="14.25" customHeight="1" x14ac:dyDescent="0.35">
      <c r="K811" s="32" t="str">
        <f>IFERROR(VLOOKUP(G811,'Taxonomy Sheet'!$A$3:$C$6,2,FALSE),"")</f>
        <v/>
      </c>
      <c r="L811" s="32" t="str">
        <f>IFERROR(VLOOKUP(F811,'Taxonomy Sheet'!$E$3:$F$5,2,FALSE),"")</f>
        <v/>
      </c>
      <c r="M811" s="32" t="str">
        <f t="shared" si="12"/>
        <v/>
      </c>
    </row>
    <row r="812" spans="11:13" ht="14.25" customHeight="1" x14ac:dyDescent="0.35">
      <c r="K812" s="32" t="str">
        <f>IFERROR(VLOOKUP(G812,'Taxonomy Sheet'!$A$3:$C$6,2,FALSE),"")</f>
        <v/>
      </c>
      <c r="L812" s="32" t="str">
        <f>IFERROR(VLOOKUP(F812,'Taxonomy Sheet'!$E$3:$F$5,2,FALSE),"")</f>
        <v/>
      </c>
      <c r="M812" s="32" t="str">
        <f t="shared" si="12"/>
        <v/>
      </c>
    </row>
    <row r="813" spans="11:13" ht="14.25" customHeight="1" x14ac:dyDescent="0.35">
      <c r="K813" s="32" t="str">
        <f>IFERROR(VLOOKUP(G813,'Taxonomy Sheet'!$A$3:$C$6,2,FALSE),"")</f>
        <v/>
      </c>
      <c r="L813" s="32" t="str">
        <f>IFERROR(VLOOKUP(F813,'Taxonomy Sheet'!$E$3:$F$5,2,FALSE),"")</f>
        <v/>
      </c>
      <c r="M813" s="32" t="str">
        <f t="shared" si="12"/>
        <v/>
      </c>
    </row>
    <row r="814" spans="11:13" ht="14.25" customHeight="1" x14ac:dyDescent="0.35">
      <c r="K814" s="32" t="str">
        <f>IFERROR(VLOOKUP(G814,'Taxonomy Sheet'!$A$3:$C$6,2,FALSE),"")</f>
        <v/>
      </c>
      <c r="L814" s="32" t="str">
        <f>IFERROR(VLOOKUP(F814,'Taxonomy Sheet'!$E$3:$F$5,2,FALSE),"")</f>
        <v/>
      </c>
      <c r="M814" s="32" t="str">
        <f t="shared" si="12"/>
        <v/>
      </c>
    </row>
    <row r="815" spans="11:13" ht="14.25" customHeight="1" x14ac:dyDescent="0.35">
      <c r="K815" s="32" t="str">
        <f>IFERROR(VLOOKUP(G815,'Taxonomy Sheet'!$A$3:$C$6,2,FALSE),"")</f>
        <v/>
      </c>
      <c r="L815" s="32" t="str">
        <f>IFERROR(VLOOKUP(F815,'Taxonomy Sheet'!$E$3:$F$5,2,FALSE),"")</f>
        <v/>
      </c>
      <c r="M815" s="32" t="str">
        <f t="shared" si="12"/>
        <v/>
      </c>
    </row>
    <row r="816" spans="11:13" ht="14.25" customHeight="1" x14ac:dyDescent="0.35">
      <c r="K816" s="32" t="str">
        <f>IFERROR(VLOOKUP(G816,'Taxonomy Sheet'!$A$3:$C$6,2,FALSE),"")</f>
        <v/>
      </c>
      <c r="L816" s="32" t="str">
        <f>IFERROR(VLOOKUP(F816,'Taxonomy Sheet'!$E$3:$F$5,2,FALSE),"")</f>
        <v/>
      </c>
      <c r="M816" s="32" t="str">
        <f t="shared" si="12"/>
        <v/>
      </c>
    </row>
    <row r="817" spans="11:13" ht="14.25" customHeight="1" x14ac:dyDescent="0.35">
      <c r="K817" s="32" t="str">
        <f>IFERROR(VLOOKUP(G817,'Taxonomy Sheet'!$A$3:$C$6,2,FALSE),"")</f>
        <v/>
      </c>
      <c r="L817" s="32" t="str">
        <f>IFERROR(VLOOKUP(F817,'Taxonomy Sheet'!$E$3:$F$5,2,FALSE),"")</f>
        <v/>
      </c>
      <c r="M817" s="32" t="str">
        <f t="shared" si="12"/>
        <v/>
      </c>
    </row>
    <row r="818" spans="11:13" ht="14.25" customHeight="1" x14ac:dyDescent="0.35">
      <c r="K818" s="32" t="str">
        <f>IFERROR(VLOOKUP(G818,'Taxonomy Sheet'!$A$3:$C$6,2,FALSE),"")</f>
        <v/>
      </c>
      <c r="L818" s="32" t="str">
        <f>IFERROR(VLOOKUP(F818,'Taxonomy Sheet'!$E$3:$F$5,2,FALSE),"")</f>
        <v/>
      </c>
      <c r="M818" s="32" t="str">
        <f t="shared" si="12"/>
        <v/>
      </c>
    </row>
    <row r="819" spans="11:13" ht="14.25" customHeight="1" x14ac:dyDescent="0.35">
      <c r="K819" s="32" t="str">
        <f>IFERROR(VLOOKUP(G819,'Taxonomy Sheet'!$A$3:$C$6,2,FALSE),"")</f>
        <v/>
      </c>
      <c r="L819" s="32" t="str">
        <f>IFERROR(VLOOKUP(F819,'Taxonomy Sheet'!$E$3:$F$5,2,FALSE),"")</f>
        <v/>
      </c>
      <c r="M819" s="32" t="str">
        <f t="shared" si="12"/>
        <v/>
      </c>
    </row>
    <row r="820" spans="11:13" ht="14.25" customHeight="1" x14ac:dyDescent="0.35">
      <c r="K820" s="32" t="str">
        <f>IFERROR(VLOOKUP(G820,'Taxonomy Sheet'!$A$3:$C$6,2,FALSE),"")</f>
        <v/>
      </c>
      <c r="L820" s="32" t="str">
        <f>IFERROR(VLOOKUP(F820,'Taxonomy Sheet'!$E$3:$F$5,2,FALSE),"")</f>
        <v/>
      </c>
      <c r="M820" s="32" t="str">
        <f t="shared" si="12"/>
        <v/>
      </c>
    </row>
    <row r="821" spans="11:13" ht="14.25" customHeight="1" x14ac:dyDescent="0.35">
      <c r="K821" s="32" t="str">
        <f>IFERROR(VLOOKUP(G821,'Taxonomy Sheet'!$A$3:$C$6,2,FALSE),"")</f>
        <v/>
      </c>
      <c r="L821" s="32" t="str">
        <f>IFERROR(VLOOKUP(F821,'Taxonomy Sheet'!$E$3:$F$5,2,FALSE),"")</f>
        <v/>
      </c>
      <c r="M821" s="32" t="str">
        <f t="shared" si="12"/>
        <v/>
      </c>
    </row>
    <row r="822" spans="11:13" ht="14.25" customHeight="1" x14ac:dyDescent="0.35">
      <c r="K822" s="32" t="str">
        <f>IFERROR(VLOOKUP(G822,'Taxonomy Sheet'!$A$3:$C$6,2,FALSE),"")</f>
        <v/>
      </c>
      <c r="L822" s="32" t="str">
        <f>IFERROR(VLOOKUP(F822,'Taxonomy Sheet'!$E$3:$F$5,2,FALSE),"")</f>
        <v/>
      </c>
      <c r="M822" s="32" t="str">
        <f t="shared" si="12"/>
        <v/>
      </c>
    </row>
    <row r="823" spans="11:13" ht="14.25" customHeight="1" x14ac:dyDescent="0.35">
      <c r="K823" s="32" t="str">
        <f>IFERROR(VLOOKUP(G823,'Taxonomy Sheet'!$A$3:$C$6,2,FALSE),"")</f>
        <v/>
      </c>
      <c r="L823" s="32" t="str">
        <f>IFERROR(VLOOKUP(F823,'Taxonomy Sheet'!$E$3:$F$5,2,FALSE),"")</f>
        <v/>
      </c>
      <c r="M823" s="32" t="str">
        <f t="shared" si="12"/>
        <v/>
      </c>
    </row>
    <row r="824" spans="11:13" ht="14.25" customHeight="1" x14ac:dyDescent="0.35">
      <c r="K824" s="32" t="str">
        <f>IFERROR(VLOOKUP(G824,'Taxonomy Sheet'!$A$3:$C$6,2,FALSE),"")</f>
        <v/>
      </c>
      <c r="L824" s="32" t="str">
        <f>IFERROR(VLOOKUP(F824,'Taxonomy Sheet'!$E$3:$F$5,2,FALSE),"")</f>
        <v/>
      </c>
      <c r="M824" s="32" t="str">
        <f t="shared" si="12"/>
        <v/>
      </c>
    </row>
    <row r="825" spans="11:13" ht="14.25" customHeight="1" x14ac:dyDescent="0.35">
      <c r="K825" s="32" t="str">
        <f>IFERROR(VLOOKUP(G825,'Taxonomy Sheet'!$A$3:$C$6,2,FALSE),"")</f>
        <v/>
      </c>
      <c r="L825" s="32" t="str">
        <f>IFERROR(VLOOKUP(F825,'Taxonomy Sheet'!$E$3:$F$5,2,FALSE),"")</f>
        <v/>
      </c>
      <c r="M825" s="32" t="str">
        <f t="shared" si="12"/>
        <v/>
      </c>
    </row>
    <row r="826" spans="11:13" ht="14.25" customHeight="1" x14ac:dyDescent="0.35">
      <c r="K826" s="32" t="str">
        <f>IFERROR(VLOOKUP(G826,'Taxonomy Sheet'!$A$3:$C$6,2,FALSE),"")</f>
        <v/>
      </c>
      <c r="L826" s="32" t="str">
        <f>IFERROR(VLOOKUP(F826,'Taxonomy Sheet'!$E$3:$F$5,2,FALSE),"")</f>
        <v/>
      </c>
      <c r="M826" s="32" t="str">
        <f t="shared" si="12"/>
        <v/>
      </c>
    </row>
    <row r="827" spans="11:13" ht="14.25" customHeight="1" x14ac:dyDescent="0.35">
      <c r="K827" s="32" t="str">
        <f>IFERROR(VLOOKUP(G827,'Taxonomy Sheet'!$A$3:$C$6,2,FALSE),"")</f>
        <v/>
      </c>
      <c r="L827" s="32" t="str">
        <f>IFERROR(VLOOKUP(F827,'Taxonomy Sheet'!$E$3:$F$5,2,FALSE),"")</f>
        <v/>
      </c>
      <c r="M827" s="32" t="str">
        <f t="shared" si="12"/>
        <v/>
      </c>
    </row>
    <row r="828" spans="11:13" ht="14.25" customHeight="1" x14ac:dyDescent="0.35">
      <c r="K828" s="32" t="str">
        <f>IFERROR(VLOOKUP(G828,'Taxonomy Sheet'!$A$3:$C$6,2,FALSE),"")</f>
        <v/>
      </c>
      <c r="L828" s="32" t="str">
        <f>IFERROR(VLOOKUP(F828,'Taxonomy Sheet'!$E$3:$F$5,2,FALSE),"")</f>
        <v/>
      </c>
      <c r="M828" s="32" t="str">
        <f t="shared" si="12"/>
        <v/>
      </c>
    </row>
    <row r="829" spans="11:13" ht="14.25" customHeight="1" x14ac:dyDescent="0.35">
      <c r="K829" s="32" t="str">
        <f>IFERROR(VLOOKUP(G829,'Taxonomy Sheet'!$A$3:$C$6,2,FALSE),"")</f>
        <v/>
      </c>
      <c r="L829" s="32" t="str">
        <f>IFERROR(VLOOKUP(F829,'Taxonomy Sheet'!$E$3:$F$5,2,FALSE),"")</f>
        <v/>
      </c>
      <c r="M829" s="32" t="str">
        <f t="shared" si="12"/>
        <v/>
      </c>
    </row>
    <row r="830" spans="11:13" ht="14.25" customHeight="1" x14ac:dyDescent="0.35">
      <c r="K830" s="32" t="str">
        <f>IFERROR(VLOOKUP(G830,'Taxonomy Sheet'!$A$3:$C$6,2,FALSE),"")</f>
        <v/>
      </c>
      <c r="L830" s="32" t="str">
        <f>IFERROR(VLOOKUP(F830,'Taxonomy Sheet'!$E$3:$F$5,2,FALSE),"")</f>
        <v/>
      </c>
      <c r="M830" s="32" t="str">
        <f t="shared" si="12"/>
        <v/>
      </c>
    </row>
    <row r="831" spans="11:13" ht="14.25" customHeight="1" x14ac:dyDescent="0.35">
      <c r="K831" s="32" t="str">
        <f>IFERROR(VLOOKUP(G831,'Taxonomy Sheet'!$A$3:$C$6,2,FALSE),"")</f>
        <v/>
      </c>
      <c r="L831" s="32" t="str">
        <f>IFERROR(VLOOKUP(F831,'Taxonomy Sheet'!$E$3:$F$5,2,FALSE),"")</f>
        <v/>
      </c>
      <c r="M831" s="32" t="str">
        <f t="shared" si="12"/>
        <v/>
      </c>
    </row>
    <row r="832" spans="11:13" ht="14.25" customHeight="1" x14ac:dyDescent="0.35">
      <c r="K832" s="32" t="str">
        <f>IFERROR(VLOOKUP(G832,'Taxonomy Sheet'!$A$3:$C$6,2,FALSE),"")</f>
        <v/>
      </c>
      <c r="L832" s="32" t="str">
        <f>IFERROR(VLOOKUP(F832,'Taxonomy Sheet'!$E$3:$F$5,2,FALSE),"")</f>
        <v/>
      </c>
      <c r="M832" s="32" t="str">
        <f t="shared" si="12"/>
        <v/>
      </c>
    </row>
    <row r="833" spans="11:13" ht="14.25" customHeight="1" x14ac:dyDescent="0.35">
      <c r="K833" s="32" t="str">
        <f>IFERROR(VLOOKUP(G833,'Taxonomy Sheet'!$A$3:$C$6,2,FALSE),"")</f>
        <v/>
      </c>
      <c r="L833" s="32" t="str">
        <f>IFERROR(VLOOKUP(F833,'Taxonomy Sheet'!$E$3:$F$5,2,FALSE),"")</f>
        <v/>
      </c>
      <c r="M833" s="32" t="str">
        <f t="shared" si="12"/>
        <v/>
      </c>
    </row>
    <row r="834" spans="11:13" ht="14.25" customHeight="1" x14ac:dyDescent="0.35">
      <c r="K834" s="32" t="str">
        <f>IFERROR(VLOOKUP(G834,'Taxonomy Sheet'!$A$3:$C$6,2,FALSE),"")</f>
        <v/>
      </c>
      <c r="L834" s="32" t="str">
        <f>IFERROR(VLOOKUP(F834,'Taxonomy Sheet'!$E$3:$F$5,2,FALSE),"")</f>
        <v/>
      </c>
      <c r="M834" s="32" t="str">
        <f t="shared" si="12"/>
        <v/>
      </c>
    </row>
    <row r="835" spans="11:13" ht="14.25" customHeight="1" x14ac:dyDescent="0.35">
      <c r="K835" s="32" t="str">
        <f>IFERROR(VLOOKUP(G835,'Taxonomy Sheet'!$A$3:$C$6,2,FALSE),"")</f>
        <v/>
      </c>
      <c r="L835" s="32" t="str">
        <f>IFERROR(VLOOKUP(F835,'Taxonomy Sheet'!$E$3:$F$5,2,FALSE),"")</f>
        <v/>
      </c>
      <c r="M835" s="32" t="str">
        <f t="shared" si="12"/>
        <v/>
      </c>
    </row>
    <row r="836" spans="11:13" ht="14.25" customHeight="1" x14ac:dyDescent="0.35">
      <c r="K836" s="32" t="str">
        <f>IFERROR(VLOOKUP(G836,'Taxonomy Sheet'!$A$3:$C$6,2,FALSE),"")</f>
        <v/>
      </c>
      <c r="L836" s="32" t="str">
        <f>IFERROR(VLOOKUP(F836,'Taxonomy Sheet'!$E$3:$F$5,2,FALSE),"")</f>
        <v/>
      </c>
      <c r="M836" s="32" t="str">
        <f t="shared" si="12"/>
        <v/>
      </c>
    </row>
    <row r="837" spans="11:13" ht="14.25" customHeight="1" x14ac:dyDescent="0.35">
      <c r="K837" s="32" t="str">
        <f>IFERROR(VLOOKUP(G837,'Taxonomy Sheet'!$A$3:$C$6,2,FALSE),"")</f>
        <v/>
      </c>
      <c r="L837" s="32" t="str">
        <f>IFERROR(VLOOKUP(F837,'Taxonomy Sheet'!$E$3:$F$5,2,FALSE),"")</f>
        <v/>
      </c>
      <c r="M837" s="32" t="str">
        <f t="shared" si="12"/>
        <v/>
      </c>
    </row>
    <row r="838" spans="11:13" ht="14.25" customHeight="1" x14ac:dyDescent="0.35">
      <c r="K838" s="32" t="str">
        <f>IFERROR(VLOOKUP(G838,'Taxonomy Sheet'!$A$3:$C$6,2,FALSE),"")</f>
        <v/>
      </c>
      <c r="L838" s="32" t="str">
        <f>IFERROR(VLOOKUP(F838,'Taxonomy Sheet'!$E$3:$F$5,2,FALSE),"")</f>
        <v/>
      </c>
      <c r="M838" s="32" t="str">
        <f t="shared" si="12"/>
        <v/>
      </c>
    </row>
    <row r="839" spans="11:13" ht="14.25" customHeight="1" x14ac:dyDescent="0.35">
      <c r="K839" s="32" t="str">
        <f>IFERROR(VLOOKUP(G839,'Taxonomy Sheet'!$A$3:$C$6,2,FALSE),"")</f>
        <v/>
      </c>
      <c r="L839" s="32" t="str">
        <f>IFERROR(VLOOKUP(F839,'Taxonomy Sheet'!$E$3:$F$5,2,FALSE),"")</f>
        <v/>
      </c>
      <c r="M839" s="32" t="str">
        <f t="shared" si="12"/>
        <v/>
      </c>
    </row>
    <row r="840" spans="11:13" ht="14.25" customHeight="1" x14ac:dyDescent="0.35">
      <c r="K840" s="32" t="str">
        <f>IFERROR(VLOOKUP(G840,'Taxonomy Sheet'!$A$3:$C$6,2,FALSE),"")</f>
        <v/>
      </c>
      <c r="L840" s="32" t="str">
        <f>IFERROR(VLOOKUP(F840,'Taxonomy Sheet'!$E$3:$F$5,2,FALSE),"")</f>
        <v/>
      </c>
      <c r="M840" s="32" t="str">
        <f t="shared" si="12"/>
        <v/>
      </c>
    </row>
    <row r="841" spans="11:13" ht="14.25" customHeight="1" x14ac:dyDescent="0.35">
      <c r="K841" s="32" t="str">
        <f>IFERROR(VLOOKUP(G841,'Taxonomy Sheet'!$A$3:$C$6,2,FALSE),"")</f>
        <v/>
      </c>
      <c r="L841" s="32" t="str">
        <f>IFERROR(VLOOKUP(F841,'Taxonomy Sheet'!$E$3:$F$5,2,FALSE),"")</f>
        <v/>
      </c>
      <c r="M841" s="32" t="str">
        <f t="shared" si="12"/>
        <v/>
      </c>
    </row>
    <row r="842" spans="11:13" ht="14.25" customHeight="1" x14ac:dyDescent="0.35">
      <c r="K842" s="32" t="str">
        <f>IFERROR(VLOOKUP(G842,'Taxonomy Sheet'!$A$3:$C$6,2,FALSE),"")</f>
        <v/>
      </c>
      <c r="L842" s="32" t="str">
        <f>IFERROR(VLOOKUP(F842,'Taxonomy Sheet'!$E$3:$F$5,2,FALSE),"")</f>
        <v/>
      </c>
      <c r="M842" s="32" t="str">
        <f t="shared" si="12"/>
        <v/>
      </c>
    </row>
    <row r="843" spans="11:13" ht="14.25" customHeight="1" x14ac:dyDescent="0.35">
      <c r="K843" s="32" t="str">
        <f>IFERROR(VLOOKUP(G843,'Taxonomy Sheet'!$A$3:$C$6,2,FALSE),"")</f>
        <v/>
      </c>
      <c r="L843" s="32" t="str">
        <f>IFERROR(VLOOKUP(F843,'Taxonomy Sheet'!$E$3:$F$5,2,FALSE),"")</f>
        <v/>
      </c>
      <c r="M843" s="32" t="str">
        <f t="shared" si="12"/>
        <v/>
      </c>
    </row>
    <row r="844" spans="11:13" ht="14.25" customHeight="1" x14ac:dyDescent="0.35">
      <c r="K844" s="32" t="str">
        <f>IFERROR(VLOOKUP(G844,'Taxonomy Sheet'!$A$3:$C$6,2,FALSE),"")</f>
        <v/>
      </c>
      <c r="L844" s="32" t="str">
        <f>IFERROR(VLOOKUP(F844,'Taxonomy Sheet'!$E$3:$F$5,2,FALSE),"")</f>
        <v/>
      </c>
      <c r="M844" s="32" t="str">
        <f t="shared" si="12"/>
        <v/>
      </c>
    </row>
    <row r="845" spans="11:13" ht="14.25" customHeight="1" x14ac:dyDescent="0.35">
      <c r="K845" s="32" t="str">
        <f>IFERROR(VLOOKUP(G845,'Taxonomy Sheet'!$A$3:$C$6,2,FALSE),"")</f>
        <v/>
      </c>
      <c r="L845" s="32" t="str">
        <f>IFERROR(VLOOKUP(F845,'Taxonomy Sheet'!$E$3:$F$5,2,FALSE),"")</f>
        <v/>
      </c>
      <c r="M845" s="32" t="str">
        <f t="shared" ref="M845:M908" si="13">IF(OR(K845="",L845=""),"",K845*L845)</f>
        <v/>
      </c>
    </row>
    <row r="846" spans="11:13" ht="14.25" customHeight="1" x14ac:dyDescent="0.35">
      <c r="K846" s="32" t="str">
        <f>IFERROR(VLOOKUP(G846,'Taxonomy Sheet'!$A$3:$C$6,2,FALSE),"")</f>
        <v/>
      </c>
      <c r="L846" s="32" t="str">
        <f>IFERROR(VLOOKUP(F846,'Taxonomy Sheet'!$E$3:$F$5,2,FALSE),"")</f>
        <v/>
      </c>
      <c r="M846" s="32" t="str">
        <f t="shared" si="13"/>
        <v/>
      </c>
    </row>
    <row r="847" spans="11:13" ht="14.25" customHeight="1" x14ac:dyDescent="0.35">
      <c r="K847" s="32" t="str">
        <f>IFERROR(VLOOKUP(G847,'Taxonomy Sheet'!$A$3:$C$6,2,FALSE),"")</f>
        <v/>
      </c>
      <c r="L847" s="32" t="str">
        <f>IFERROR(VLOOKUP(F847,'Taxonomy Sheet'!$E$3:$F$5,2,FALSE),"")</f>
        <v/>
      </c>
      <c r="M847" s="32" t="str">
        <f t="shared" si="13"/>
        <v/>
      </c>
    </row>
    <row r="848" spans="11:13" ht="14.25" customHeight="1" x14ac:dyDescent="0.35">
      <c r="K848" s="32" t="str">
        <f>IFERROR(VLOOKUP(G848,'Taxonomy Sheet'!$A$3:$C$6,2,FALSE),"")</f>
        <v/>
      </c>
      <c r="L848" s="32" t="str">
        <f>IFERROR(VLOOKUP(F848,'Taxonomy Sheet'!$E$3:$F$5,2,FALSE),"")</f>
        <v/>
      </c>
      <c r="M848" s="32" t="str">
        <f t="shared" si="13"/>
        <v/>
      </c>
    </row>
    <row r="849" spans="11:13" ht="14.25" customHeight="1" x14ac:dyDescent="0.35">
      <c r="K849" s="32" t="str">
        <f>IFERROR(VLOOKUP(G849,'Taxonomy Sheet'!$A$3:$C$6,2,FALSE),"")</f>
        <v/>
      </c>
      <c r="L849" s="32" t="str">
        <f>IFERROR(VLOOKUP(F849,'Taxonomy Sheet'!$E$3:$F$5,2,FALSE),"")</f>
        <v/>
      </c>
      <c r="M849" s="32" t="str">
        <f t="shared" si="13"/>
        <v/>
      </c>
    </row>
    <row r="850" spans="11:13" ht="14.25" customHeight="1" x14ac:dyDescent="0.35">
      <c r="K850" s="32" t="str">
        <f>IFERROR(VLOOKUP(G850,'Taxonomy Sheet'!$A$3:$C$6,2,FALSE),"")</f>
        <v/>
      </c>
      <c r="L850" s="32" t="str">
        <f>IFERROR(VLOOKUP(F850,'Taxonomy Sheet'!$E$3:$F$5,2,FALSE),"")</f>
        <v/>
      </c>
      <c r="M850" s="32" t="str">
        <f t="shared" si="13"/>
        <v/>
      </c>
    </row>
    <row r="851" spans="11:13" ht="14.25" customHeight="1" x14ac:dyDescent="0.35">
      <c r="K851" s="32" t="str">
        <f>IFERROR(VLOOKUP(G851,'Taxonomy Sheet'!$A$3:$C$6,2,FALSE),"")</f>
        <v/>
      </c>
      <c r="L851" s="32" t="str">
        <f>IFERROR(VLOOKUP(F851,'Taxonomy Sheet'!$E$3:$F$5,2,FALSE),"")</f>
        <v/>
      </c>
      <c r="M851" s="32" t="str">
        <f t="shared" si="13"/>
        <v/>
      </c>
    </row>
    <row r="852" spans="11:13" ht="14.25" customHeight="1" x14ac:dyDescent="0.35">
      <c r="K852" s="32" t="str">
        <f>IFERROR(VLOOKUP(G852,'Taxonomy Sheet'!$A$3:$C$6,2,FALSE),"")</f>
        <v/>
      </c>
      <c r="L852" s="32" t="str">
        <f>IFERROR(VLOOKUP(F852,'Taxonomy Sheet'!$E$3:$F$5,2,FALSE),"")</f>
        <v/>
      </c>
      <c r="M852" s="32" t="str">
        <f t="shared" si="13"/>
        <v/>
      </c>
    </row>
    <row r="853" spans="11:13" ht="14.25" customHeight="1" x14ac:dyDescent="0.35">
      <c r="K853" s="32" t="str">
        <f>IFERROR(VLOOKUP(G853,'Taxonomy Sheet'!$A$3:$C$6,2,FALSE),"")</f>
        <v/>
      </c>
      <c r="L853" s="32" t="str">
        <f>IFERROR(VLOOKUP(F853,'Taxonomy Sheet'!$E$3:$F$5,2,FALSE),"")</f>
        <v/>
      </c>
      <c r="M853" s="32" t="str">
        <f t="shared" si="13"/>
        <v/>
      </c>
    </row>
    <row r="854" spans="11:13" ht="14.25" customHeight="1" x14ac:dyDescent="0.35">
      <c r="K854" s="32" t="str">
        <f>IFERROR(VLOOKUP(G854,'Taxonomy Sheet'!$A$3:$C$6,2,FALSE),"")</f>
        <v/>
      </c>
      <c r="L854" s="32" t="str">
        <f>IFERROR(VLOOKUP(F854,'Taxonomy Sheet'!$E$3:$F$5,2,FALSE),"")</f>
        <v/>
      </c>
      <c r="M854" s="32" t="str">
        <f t="shared" si="13"/>
        <v/>
      </c>
    </row>
    <row r="855" spans="11:13" ht="14.25" customHeight="1" x14ac:dyDescent="0.35">
      <c r="K855" s="32" t="str">
        <f>IFERROR(VLOOKUP(G855,'Taxonomy Sheet'!$A$3:$C$6,2,FALSE),"")</f>
        <v/>
      </c>
      <c r="L855" s="32" t="str">
        <f>IFERROR(VLOOKUP(F855,'Taxonomy Sheet'!$E$3:$F$5,2,FALSE),"")</f>
        <v/>
      </c>
      <c r="M855" s="32" t="str">
        <f t="shared" si="13"/>
        <v/>
      </c>
    </row>
    <row r="856" spans="11:13" ht="14.25" customHeight="1" x14ac:dyDescent="0.35">
      <c r="K856" s="32" t="str">
        <f>IFERROR(VLOOKUP(G856,'Taxonomy Sheet'!$A$3:$C$6,2,FALSE),"")</f>
        <v/>
      </c>
      <c r="L856" s="32" t="str">
        <f>IFERROR(VLOOKUP(F856,'Taxonomy Sheet'!$E$3:$F$5,2,FALSE),"")</f>
        <v/>
      </c>
      <c r="M856" s="32" t="str">
        <f t="shared" si="13"/>
        <v/>
      </c>
    </row>
    <row r="857" spans="11:13" ht="14.25" customHeight="1" x14ac:dyDescent="0.35">
      <c r="K857" s="32" t="str">
        <f>IFERROR(VLOOKUP(G857,'Taxonomy Sheet'!$A$3:$C$6,2,FALSE),"")</f>
        <v/>
      </c>
      <c r="L857" s="32" t="str">
        <f>IFERROR(VLOOKUP(F857,'Taxonomy Sheet'!$E$3:$F$5,2,FALSE),"")</f>
        <v/>
      </c>
      <c r="M857" s="32" t="str">
        <f t="shared" si="13"/>
        <v/>
      </c>
    </row>
    <row r="858" spans="11:13" ht="14.25" customHeight="1" x14ac:dyDescent="0.35">
      <c r="K858" s="32" t="str">
        <f>IFERROR(VLOOKUP(G858,'Taxonomy Sheet'!$A$3:$C$6,2,FALSE),"")</f>
        <v/>
      </c>
      <c r="L858" s="32" t="str">
        <f>IFERROR(VLOOKUP(F858,'Taxonomy Sheet'!$E$3:$F$5,2,FALSE),"")</f>
        <v/>
      </c>
      <c r="M858" s="32" t="str">
        <f t="shared" si="13"/>
        <v/>
      </c>
    </row>
    <row r="859" spans="11:13" ht="14.25" customHeight="1" x14ac:dyDescent="0.35">
      <c r="K859" s="32" t="str">
        <f>IFERROR(VLOOKUP(G859,'Taxonomy Sheet'!$A$3:$C$6,2,FALSE),"")</f>
        <v/>
      </c>
      <c r="L859" s="32" t="str">
        <f>IFERROR(VLOOKUP(F859,'Taxonomy Sheet'!$E$3:$F$5,2,FALSE),"")</f>
        <v/>
      </c>
      <c r="M859" s="32" t="str">
        <f t="shared" si="13"/>
        <v/>
      </c>
    </row>
    <row r="860" spans="11:13" ht="14.25" customHeight="1" x14ac:dyDescent="0.35">
      <c r="K860" s="32" t="str">
        <f>IFERROR(VLOOKUP(G860,'Taxonomy Sheet'!$A$3:$C$6,2,FALSE),"")</f>
        <v/>
      </c>
      <c r="L860" s="32" t="str">
        <f>IFERROR(VLOOKUP(F860,'Taxonomy Sheet'!$E$3:$F$5,2,FALSE),"")</f>
        <v/>
      </c>
      <c r="M860" s="32" t="str">
        <f t="shared" si="13"/>
        <v/>
      </c>
    </row>
    <row r="861" spans="11:13" ht="14.25" customHeight="1" x14ac:dyDescent="0.35">
      <c r="K861" s="32" t="str">
        <f>IFERROR(VLOOKUP(G861,'Taxonomy Sheet'!$A$3:$C$6,2,FALSE),"")</f>
        <v/>
      </c>
      <c r="L861" s="32" t="str">
        <f>IFERROR(VLOOKUP(F861,'Taxonomy Sheet'!$E$3:$F$5,2,FALSE),"")</f>
        <v/>
      </c>
      <c r="M861" s="32" t="str">
        <f t="shared" si="13"/>
        <v/>
      </c>
    </row>
    <row r="862" spans="11:13" ht="14.25" customHeight="1" x14ac:dyDescent="0.35">
      <c r="K862" s="32" t="str">
        <f>IFERROR(VLOOKUP(G862,'Taxonomy Sheet'!$A$3:$C$6,2,FALSE),"")</f>
        <v/>
      </c>
      <c r="L862" s="32" t="str">
        <f>IFERROR(VLOOKUP(F862,'Taxonomy Sheet'!$E$3:$F$5,2,FALSE),"")</f>
        <v/>
      </c>
      <c r="M862" s="32" t="str">
        <f t="shared" si="13"/>
        <v/>
      </c>
    </row>
    <row r="863" spans="11:13" ht="14.25" customHeight="1" x14ac:dyDescent="0.35">
      <c r="K863" s="32" t="str">
        <f>IFERROR(VLOOKUP(G863,'Taxonomy Sheet'!$A$3:$C$6,2,FALSE),"")</f>
        <v/>
      </c>
      <c r="L863" s="32" t="str">
        <f>IFERROR(VLOOKUP(F863,'Taxonomy Sheet'!$E$3:$F$5,2,FALSE),"")</f>
        <v/>
      </c>
      <c r="M863" s="32" t="str">
        <f t="shared" si="13"/>
        <v/>
      </c>
    </row>
    <row r="864" spans="11:13" ht="14.25" customHeight="1" x14ac:dyDescent="0.35">
      <c r="K864" s="32" t="str">
        <f>IFERROR(VLOOKUP(G864,'Taxonomy Sheet'!$A$3:$C$6,2,FALSE),"")</f>
        <v/>
      </c>
      <c r="L864" s="32" t="str">
        <f>IFERROR(VLOOKUP(F864,'Taxonomy Sheet'!$E$3:$F$5,2,FALSE),"")</f>
        <v/>
      </c>
      <c r="M864" s="32" t="str">
        <f t="shared" si="13"/>
        <v/>
      </c>
    </row>
    <row r="865" spans="11:13" ht="14.25" customHeight="1" x14ac:dyDescent="0.35">
      <c r="K865" s="32" t="str">
        <f>IFERROR(VLOOKUP(G865,'Taxonomy Sheet'!$A$3:$C$6,2,FALSE),"")</f>
        <v/>
      </c>
      <c r="L865" s="32" t="str">
        <f>IFERROR(VLOOKUP(F865,'Taxonomy Sheet'!$E$3:$F$5,2,FALSE),"")</f>
        <v/>
      </c>
      <c r="M865" s="32" t="str">
        <f t="shared" si="13"/>
        <v/>
      </c>
    </row>
    <row r="866" spans="11:13" ht="14.25" customHeight="1" x14ac:dyDescent="0.35">
      <c r="K866" s="32" t="str">
        <f>IFERROR(VLOOKUP(G866,'Taxonomy Sheet'!$A$3:$C$6,2,FALSE),"")</f>
        <v/>
      </c>
      <c r="L866" s="32" t="str">
        <f>IFERROR(VLOOKUP(F866,'Taxonomy Sheet'!$E$3:$F$5,2,FALSE),"")</f>
        <v/>
      </c>
      <c r="M866" s="32" t="str">
        <f t="shared" si="13"/>
        <v/>
      </c>
    </row>
    <row r="867" spans="11:13" ht="14.25" customHeight="1" x14ac:dyDescent="0.35">
      <c r="K867" s="32" t="str">
        <f>IFERROR(VLOOKUP(G867,'Taxonomy Sheet'!$A$3:$C$6,2,FALSE),"")</f>
        <v/>
      </c>
      <c r="L867" s="32" t="str">
        <f>IFERROR(VLOOKUP(F867,'Taxonomy Sheet'!$E$3:$F$5,2,FALSE),"")</f>
        <v/>
      </c>
      <c r="M867" s="32" t="str">
        <f t="shared" si="13"/>
        <v/>
      </c>
    </row>
    <row r="868" spans="11:13" ht="14.25" customHeight="1" x14ac:dyDescent="0.35">
      <c r="K868" s="32" t="str">
        <f>IFERROR(VLOOKUP(G868,'Taxonomy Sheet'!$A$3:$C$6,2,FALSE),"")</f>
        <v/>
      </c>
      <c r="L868" s="32" t="str">
        <f>IFERROR(VLOOKUP(F868,'Taxonomy Sheet'!$E$3:$F$5,2,FALSE),"")</f>
        <v/>
      </c>
      <c r="M868" s="32" t="str">
        <f t="shared" si="13"/>
        <v/>
      </c>
    </row>
    <row r="869" spans="11:13" ht="14.25" customHeight="1" x14ac:dyDescent="0.35">
      <c r="K869" s="32" t="str">
        <f>IFERROR(VLOOKUP(G869,'Taxonomy Sheet'!$A$3:$C$6,2,FALSE),"")</f>
        <v/>
      </c>
      <c r="L869" s="32" t="str">
        <f>IFERROR(VLOOKUP(F869,'Taxonomy Sheet'!$E$3:$F$5,2,FALSE),"")</f>
        <v/>
      </c>
      <c r="M869" s="32" t="str">
        <f t="shared" si="13"/>
        <v/>
      </c>
    </row>
    <row r="870" spans="11:13" ht="14.25" customHeight="1" x14ac:dyDescent="0.35">
      <c r="K870" s="32" t="str">
        <f>IFERROR(VLOOKUP(G870,'Taxonomy Sheet'!$A$3:$C$6,2,FALSE),"")</f>
        <v/>
      </c>
      <c r="L870" s="32" t="str">
        <f>IFERROR(VLOOKUP(F870,'Taxonomy Sheet'!$E$3:$F$5,2,FALSE),"")</f>
        <v/>
      </c>
      <c r="M870" s="32" t="str">
        <f t="shared" si="13"/>
        <v/>
      </c>
    </row>
    <row r="871" spans="11:13" ht="14.25" customHeight="1" x14ac:dyDescent="0.35">
      <c r="K871" s="32" t="str">
        <f>IFERROR(VLOOKUP(G871,'Taxonomy Sheet'!$A$3:$C$6,2,FALSE),"")</f>
        <v/>
      </c>
      <c r="L871" s="32" t="str">
        <f>IFERROR(VLOOKUP(F871,'Taxonomy Sheet'!$E$3:$F$5,2,FALSE),"")</f>
        <v/>
      </c>
      <c r="M871" s="32" t="str">
        <f t="shared" si="13"/>
        <v/>
      </c>
    </row>
    <row r="872" spans="11:13" ht="14.25" customHeight="1" x14ac:dyDescent="0.35">
      <c r="K872" s="32" t="str">
        <f>IFERROR(VLOOKUP(G872,'Taxonomy Sheet'!$A$3:$C$6,2,FALSE),"")</f>
        <v/>
      </c>
      <c r="L872" s="32" t="str">
        <f>IFERROR(VLOOKUP(F872,'Taxonomy Sheet'!$E$3:$F$5,2,FALSE),"")</f>
        <v/>
      </c>
      <c r="M872" s="32" t="str">
        <f t="shared" si="13"/>
        <v/>
      </c>
    </row>
    <row r="873" spans="11:13" ht="14.25" customHeight="1" x14ac:dyDescent="0.35">
      <c r="K873" s="32" t="str">
        <f>IFERROR(VLOOKUP(G873,'Taxonomy Sheet'!$A$3:$C$6,2,FALSE),"")</f>
        <v/>
      </c>
      <c r="L873" s="32" t="str">
        <f>IFERROR(VLOOKUP(F873,'Taxonomy Sheet'!$E$3:$F$5,2,FALSE),"")</f>
        <v/>
      </c>
      <c r="M873" s="32" t="str">
        <f t="shared" si="13"/>
        <v/>
      </c>
    </row>
    <row r="874" spans="11:13" ht="14.25" customHeight="1" x14ac:dyDescent="0.35">
      <c r="K874" s="32" t="str">
        <f>IFERROR(VLOOKUP(G874,'Taxonomy Sheet'!$A$3:$C$6,2,FALSE),"")</f>
        <v/>
      </c>
      <c r="L874" s="32" t="str">
        <f>IFERROR(VLOOKUP(F874,'Taxonomy Sheet'!$E$3:$F$5,2,FALSE),"")</f>
        <v/>
      </c>
      <c r="M874" s="32" t="str">
        <f t="shared" si="13"/>
        <v/>
      </c>
    </row>
    <row r="875" spans="11:13" ht="14.25" customHeight="1" x14ac:dyDescent="0.35">
      <c r="K875" s="32" t="str">
        <f>IFERROR(VLOOKUP(G875,'Taxonomy Sheet'!$A$3:$C$6,2,FALSE),"")</f>
        <v/>
      </c>
      <c r="L875" s="32" t="str">
        <f>IFERROR(VLOOKUP(F875,'Taxonomy Sheet'!$E$3:$F$5,2,FALSE),"")</f>
        <v/>
      </c>
      <c r="M875" s="32" t="str">
        <f t="shared" si="13"/>
        <v/>
      </c>
    </row>
    <row r="876" spans="11:13" ht="14.25" customHeight="1" x14ac:dyDescent="0.35">
      <c r="K876" s="32" t="str">
        <f>IFERROR(VLOOKUP(G876,'Taxonomy Sheet'!$A$3:$C$6,2,FALSE),"")</f>
        <v/>
      </c>
      <c r="L876" s="32" t="str">
        <f>IFERROR(VLOOKUP(F876,'Taxonomy Sheet'!$E$3:$F$5,2,FALSE),"")</f>
        <v/>
      </c>
      <c r="M876" s="32" t="str">
        <f t="shared" si="13"/>
        <v/>
      </c>
    </row>
    <row r="877" spans="11:13" ht="14.25" customHeight="1" x14ac:dyDescent="0.35">
      <c r="K877" s="32" t="str">
        <f>IFERROR(VLOOKUP(G877,'Taxonomy Sheet'!$A$3:$C$6,2,FALSE),"")</f>
        <v/>
      </c>
      <c r="L877" s="32" t="str">
        <f>IFERROR(VLOOKUP(F877,'Taxonomy Sheet'!$E$3:$F$5,2,FALSE),"")</f>
        <v/>
      </c>
      <c r="M877" s="32" t="str">
        <f t="shared" si="13"/>
        <v/>
      </c>
    </row>
    <row r="878" spans="11:13" ht="14.25" customHeight="1" x14ac:dyDescent="0.35">
      <c r="K878" s="32" t="str">
        <f>IFERROR(VLOOKUP(G878,'Taxonomy Sheet'!$A$3:$C$6,2,FALSE),"")</f>
        <v/>
      </c>
      <c r="L878" s="32" t="str">
        <f>IFERROR(VLOOKUP(F878,'Taxonomy Sheet'!$E$3:$F$5,2,FALSE),"")</f>
        <v/>
      </c>
      <c r="M878" s="32" t="str">
        <f t="shared" si="13"/>
        <v/>
      </c>
    </row>
    <row r="879" spans="11:13" ht="14.25" customHeight="1" x14ac:dyDescent="0.35">
      <c r="K879" s="32" t="str">
        <f>IFERROR(VLOOKUP(G879,'Taxonomy Sheet'!$A$3:$C$6,2,FALSE),"")</f>
        <v/>
      </c>
      <c r="L879" s="32" t="str">
        <f>IFERROR(VLOOKUP(F879,'Taxonomy Sheet'!$E$3:$F$5,2,FALSE),"")</f>
        <v/>
      </c>
      <c r="M879" s="32" t="str">
        <f t="shared" si="13"/>
        <v/>
      </c>
    </row>
    <row r="880" spans="11:13" ht="14.25" customHeight="1" x14ac:dyDescent="0.35">
      <c r="K880" s="32" t="str">
        <f>IFERROR(VLOOKUP(G880,'Taxonomy Sheet'!$A$3:$C$6,2,FALSE),"")</f>
        <v/>
      </c>
      <c r="L880" s="32" t="str">
        <f>IFERROR(VLOOKUP(F880,'Taxonomy Sheet'!$E$3:$F$5,2,FALSE),"")</f>
        <v/>
      </c>
      <c r="M880" s="32" t="str">
        <f t="shared" si="13"/>
        <v/>
      </c>
    </row>
    <row r="881" spans="11:13" ht="14.25" customHeight="1" x14ac:dyDescent="0.35">
      <c r="K881" s="32" t="str">
        <f>IFERROR(VLOOKUP(G881,'Taxonomy Sheet'!$A$3:$C$6,2,FALSE),"")</f>
        <v/>
      </c>
      <c r="L881" s="32" t="str">
        <f>IFERROR(VLOOKUP(F881,'Taxonomy Sheet'!$E$3:$F$5,2,FALSE),"")</f>
        <v/>
      </c>
      <c r="M881" s="32" t="str">
        <f t="shared" si="13"/>
        <v/>
      </c>
    </row>
    <row r="882" spans="11:13" ht="14.25" customHeight="1" x14ac:dyDescent="0.35">
      <c r="K882" s="32" t="str">
        <f>IFERROR(VLOOKUP(G882,'Taxonomy Sheet'!$A$3:$C$6,2,FALSE),"")</f>
        <v/>
      </c>
      <c r="L882" s="32" t="str">
        <f>IFERROR(VLOOKUP(F882,'Taxonomy Sheet'!$E$3:$F$5,2,FALSE),"")</f>
        <v/>
      </c>
      <c r="M882" s="32" t="str">
        <f t="shared" si="13"/>
        <v/>
      </c>
    </row>
    <row r="883" spans="11:13" ht="14.25" customHeight="1" x14ac:dyDescent="0.35">
      <c r="K883" s="32" t="str">
        <f>IFERROR(VLOOKUP(G883,'Taxonomy Sheet'!$A$3:$C$6,2,FALSE),"")</f>
        <v/>
      </c>
      <c r="L883" s="32" t="str">
        <f>IFERROR(VLOOKUP(F883,'Taxonomy Sheet'!$E$3:$F$5,2,FALSE),"")</f>
        <v/>
      </c>
      <c r="M883" s="32" t="str">
        <f t="shared" si="13"/>
        <v/>
      </c>
    </row>
    <row r="884" spans="11:13" ht="14.25" customHeight="1" x14ac:dyDescent="0.35">
      <c r="K884" s="32" t="str">
        <f>IFERROR(VLOOKUP(G884,'Taxonomy Sheet'!$A$3:$C$6,2,FALSE),"")</f>
        <v/>
      </c>
      <c r="L884" s="32" t="str">
        <f>IFERROR(VLOOKUP(F884,'Taxonomy Sheet'!$E$3:$F$5,2,FALSE),"")</f>
        <v/>
      </c>
      <c r="M884" s="32" t="str">
        <f t="shared" si="13"/>
        <v/>
      </c>
    </row>
    <row r="885" spans="11:13" ht="14.25" customHeight="1" x14ac:dyDescent="0.35">
      <c r="K885" s="32" t="str">
        <f>IFERROR(VLOOKUP(G885,'Taxonomy Sheet'!$A$3:$C$6,2,FALSE),"")</f>
        <v/>
      </c>
      <c r="L885" s="32" t="str">
        <f>IFERROR(VLOOKUP(F885,'Taxonomy Sheet'!$E$3:$F$5,2,FALSE),"")</f>
        <v/>
      </c>
      <c r="M885" s="32" t="str">
        <f t="shared" si="13"/>
        <v/>
      </c>
    </row>
    <row r="886" spans="11:13" ht="14.25" customHeight="1" x14ac:dyDescent="0.35">
      <c r="K886" s="32" t="str">
        <f>IFERROR(VLOOKUP(G886,'Taxonomy Sheet'!$A$3:$C$6,2,FALSE),"")</f>
        <v/>
      </c>
      <c r="L886" s="32" t="str">
        <f>IFERROR(VLOOKUP(F886,'Taxonomy Sheet'!$E$3:$F$5,2,FALSE),"")</f>
        <v/>
      </c>
      <c r="M886" s="32" t="str">
        <f t="shared" si="13"/>
        <v/>
      </c>
    </row>
    <row r="887" spans="11:13" ht="14.25" customHeight="1" x14ac:dyDescent="0.35">
      <c r="K887" s="32" t="str">
        <f>IFERROR(VLOOKUP(G887,'Taxonomy Sheet'!$A$3:$C$6,2,FALSE),"")</f>
        <v/>
      </c>
      <c r="L887" s="32" t="str">
        <f>IFERROR(VLOOKUP(F887,'Taxonomy Sheet'!$E$3:$F$5,2,FALSE),"")</f>
        <v/>
      </c>
      <c r="M887" s="32" t="str">
        <f t="shared" si="13"/>
        <v/>
      </c>
    </row>
    <row r="888" spans="11:13" ht="14.25" customHeight="1" x14ac:dyDescent="0.35">
      <c r="K888" s="32" t="str">
        <f>IFERROR(VLOOKUP(G888,'Taxonomy Sheet'!$A$3:$C$6,2,FALSE),"")</f>
        <v/>
      </c>
      <c r="L888" s="32" t="str">
        <f>IFERROR(VLOOKUP(F888,'Taxonomy Sheet'!$E$3:$F$5,2,FALSE),"")</f>
        <v/>
      </c>
      <c r="M888" s="32" t="str">
        <f t="shared" si="13"/>
        <v/>
      </c>
    </row>
    <row r="889" spans="11:13" ht="14.25" customHeight="1" x14ac:dyDescent="0.35">
      <c r="K889" s="32" t="str">
        <f>IFERROR(VLOOKUP(G889,'Taxonomy Sheet'!$A$3:$C$6,2,FALSE),"")</f>
        <v/>
      </c>
      <c r="L889" s="32" t="str">
        <f>IFERROR(VLOOKUP(F889,'Taxonomy Sheet'!$E$3:$F$5,2,FALSE),"")</f>
        <v/>
      </c>
      <c r="M889" s="32" t="str">
        <f t="shared" si="13"/>
        <v/>
      </c>
    </row>
    <row r="890" spans="11:13" ht="14.25" customHeight="1" x14ac:dyDescent="0.35">
      <c r="K890" s="32" t="str">
        <f>IFERROR(VLOOKUP(G890,'Taxonomy Sheet'!$A$3:$C$6,2,FALSE),"")</f>
        <v/>
      </c>
      <c r="L890" s="32" t="str">
        <f>IFERROR(VLOOKUP(F890,'Taxonomy Sheet'!$E$3:$F$5,2,FALSE),"")</f>
        <v/>
      </c>
      <c r="M890" s="32" t="str">
        <f t="shared" si="13"/>
        <v/>
      </c>
    </row>
    <row r="891" spans="11:13" ht="14.25" customHeight="1" x14ac:dyDescent="0.35">
      <c r="K891" s="32" t="str">
        <f>IFERROR(VLOOKUP(G891,'Taxonomy Sheet'!$A$3:$C$6,2,FALSE),"")</f>
        <v/>
      </c>
      <c r="L891" s="32" t="str">
        <f>IFERROR(VLOOKUP(F891,'Taxonomy Sheet'!$E$3:$F$5,2,FALSE),"")</f>
        <v/>
      </c>
      <c r="M891" s="32" t="str">
        <f t="shared" si="13"/>
        <v/>
      </c>
    </row>
    <row r="892" spans="11:13" ht="14.25" customHeight="1" x14ac:dyDescent="0.35">
      <c r="K892" s="32" t="str">
        <f>IFERROR(VLOOKUP(G892,'Taxonomy Sheet'!$A$3:$C$6,2,FALSE),"")</f>
        <v/>
      </c>
      <c r="L892" s="32" t="str">
        <f>IFERROR(VLOOKUP(F892,'Taxonomy Sheet'!$E$3:$F$5,2,FALSE),"")</f>
        <v/>
      </c>
      <c r="M892" s="32" t="str">
        <f t="shared" si="13"/>
        <v/>
      </c>
    </row>
    <row r="893" spans="11:13" ht="14.25" customHeight="1" x14ac:dyDescent="0.35">
      <c r="K893" s="32" t="str">
        <f>IFERROR(VLOOKUP(G893,'Taxonomy Sheet'!$A$3:$C$6,2,FALSE),"")</f>
        <v/>
      </c>
      <c r="L893" s="32" t="str">
        <f>IFERROR(VLOOKUP(F893,'Taxonomy Sheet'!$E$3:$F$5,2,FALSE),"")</f>
        <v/>
      </c>
      <c r="M893" s="32" t="str">
        <f t="shared" si="13"/>
        <v/>
      </c>
    </row>
    <row r="894" spans="11:13" ht="14.25" customHeight="1" x14ac:dyDescent="0.35">
      <c r="K894" s="32" t="str">
        <f>IFERROR(VLOOKUP(G894,'Taxonomy Sheet'!$A$3:$C$6,2,FALSE),"")</f>
        <v/>
      </c>
      <c r="L894" s="32" t="str">
        <f>IFERROR(VLOOKUP(F894,'Taxonomy Sheet'!$E$3:$F$5,2,FALSE),"")</f>
        <v/>
      </c>
      <c r="M894" s="32" t="str">
        <f t="shared" si="13"/>
        <v/>
      </c>
    </row>
    <row r="895" spans="11:13" ht="14.25" customHeight="1" x14ac:dyDescent="0.35">
      <c r="K895" s="32" t="str">
        <f>IFERROR(VLOOKUP(G895,'Taxonomy Sheet'!$A$3:$C$6,2,FALSE),"")</f>
        <v/>
      </c>
      <c r="L895" s="32" t="str">
        <f>IFERROR(VLOOKUP(F895,'Taxonomy Sheet'!$E$3:$F$5,2,FALSE),"")</f>
        <v/>
      </c>
      <c r="M895" s="32" t="str">
        <f t="shared" si="13"/>
        <v/>
      </c>
    </row>
    <row r="896" spans="11:13" ht="14.25" customHeight="1" x14ac:dyDescent="0.35">
      <c r="K896" s="32" t="str">
        <f>IFERROR(VLOOKUP(G896,'Taxonomy Sheet'!$A$3:$C$6,2,FALSE),"")</f>
        <v/>
      </c>
      <c r="L896" s="32" t="str">
        <f>IFERROR(VLOOKUP(F896,'Taxonomy Sheet'!$E$3:$F$5,2,FALSE),"")</f>
        <v/>
      </c>
      <c r="M896" s="32" t="str">
        <f t="shared" si="13"/>
        <v/>
      </c>
    </row>
    <row r="897" spans="11:13" ht="14.25" customHeight="1" x14ac:dyDescent="0.35">
      <c r="K897" s="32" t="str">
        <f>IFERROR(VLOOKUP(G897,'Taxonomy Sheet'!$A$3:$C$6,2,FALSE),"")</f>
        <v/>
      </c>
      <c r="L897" s="32" t="str">
        <f>IFERROR(VLOOKUP(F897,'Taxonomy Sheet'!$E$3:$F$5,2,FALSE),"")</f>
        <v/>
      </c>
      <c r="M897" s="32" t="str">
        <f t="shared" si="13"/>
        <v/>
      </c>
    </row>
    <row r="898" spans="11:13" ht="14.25" customHeight="1" x14ac:dyDescent="0.35">
      <c r="K898" s="32" t="str">
        <f>IFERROR(VLOOKUP(G898,'Taxonomy Sheet'!$A$3:$C$6,2,FALSE),"")</f>
        <v/>
      </c>
      <c r="L898" s="32" t="str">
        <f>IFERROR(VLOOKUP(F898,'Taxonomy Sheet'!$E$3:$F$5,2,FALSE),"")</f>
        <v/>
      </c>
      <c r="M898" s="32" t="str">
        <f t="shared" si="13"/>
        <v/>
      </c>
    </row>
    <row r="899" spans="11:13" ht="14.25" customHeight="1" x14ac:dyDescent="0.35">
      <c r="K899" s="32" t="str">
        <f>IFERROR(VLOOKUP(G899,'Taxonomy Sheet'!$A$3:$C$6,2,FALSE),"")</f>
        <v/>
      </c>
      <c r="L899" s="32" t="str">
        <f>IFERROR(VLOOKUP(F899,'Taxonomy Sheet'!$E$3:$F$5,2,FALSE),"")</f>
        <v/>
      </c>
      <c r="M899" s="32" t="str">
        <f t="shared" si="13"/>
        <v/>
      </c>
    </row>
    <row r="900" spans="11:13" ht="14.25" customHeight="1" x14ac:dyDescent="0.35">
      <c r="K900" s="32" t="str">
        <f>IFERROR(VLOOKUP(G900,'Taxonomy Sheet'!$A$3:$C$6,2,FALSE),"")</f>
        <v/>
      </c>
      <c r="L900" s="32" t="str">
        <f>IFERROR(VLOOKUP(F900,'Taxonomy Sheet'!$E$3:$F$5,2,FALSE),"")</f>
        <v/>
      </c>
      <c r="M900" s="32" t="str">
        <f t="shared" si="13"/>
        <v/>
      </c>
    </row>
    <row r="901" spans="11:13" ht="14.25" customHeight="1" x14ac:dyDescent="0.35">
      <c r="K901" s="32" t="str">
        <f>IFERROR(VLOOKUP(G901,'Taxonomy Sheet'!$A$3:$C$6,2,FALSE),"")</f>
        <v/>
      </c>
      <c r="L901" s="32" t="str">
        <f>IFERROR(VLOOKUP(F901,'Taxonomy Sheet'!$E$3:$F$5,2,FALSE),"")</f>
        <v/>
      </c>
      <c r="M901" s="32" t="str">
        <f t="shared" si="13"/>
        <v/>
      </c>
    </row>
    <row r="902" spans="11:13" ht="14.25" customHeight="1" x14ac:dyDescent="0.35">
      <c r="K902" s="32" t="str">
        <f>IFERROR(VLOOKUP(G902,'Taxonomy Sheet'!$A$3:$C$6,2,FALSE),"")</f>
        <v/>
      </c>
      <c r="L902" s="32" t="str">
        <f>IFERROR(VLOOKUP(F902,'Taxonomy Sheet'!$E$3:$F$5,2,FALSE),"")</f>
        <v/>
      </c>
      <c r="M902" s="32" t="str">
        <f t="shared" si="13"/>
        <v/>
      </c>
    </row>
    <row r="903" spans="11:13" ht="14.25" customHeight="1" x14ac:dyDescent="0.35">
      <c r="K903" s="32" t="str">
        <f>IFERROR(VLOOKUP(G903,'Taxonomy Sheet'!$A$3:$C$6,2,FALSE),"")</f>
        <v/>
      </c>
      <c r="L903" s="32" t="str">
        <f>IFERROR(VLOOKUP(F903,'Taxonomy Sheet'!$E$3:$F$5,2,FALSE),"")</f>
        <v/>
      </c>
      <c r="M903" s="32" t="str">
        <f t="shared" si="13"/>
        <v/>
      </c>
    </row>
    <row r="904" spans="11:13" ht="14.25" customHeight="1" x14ac:dyDescent="0.35">
      <c r="K904" s="32" t="str">
        <f>IFERROR(VLOOKUP(G904,'Taxonomy Sheet'!$A$3:$C$6,2,FALSE),"")</f>
        <v/>
      </c>
      <c r="L904" s="32" t="str">
        <f>IFERROR(VLOOKUP(F904,'Taxonomy Sheet'!$E$3:$F$5,2,FALSE),"")</f>
        <v/>
      </c>
      <c r="M904" s="32" t="str">
        <f t="shared" si="13"/>
        <v/>
      </c>
    </row>
    <row r="905" spans="11:13" ht="14.25" customHeight="1" x14ac:dyDescent="0.35">
      <c r="K905" s="32" t="str">
        <f>IFERROR(VLOOKUP(G905,'Taxonomy Sheet'!$A$3:$C$6,2,FALSE),"")</f>
        <v/>
      </c>
      <c r="L905" s="32" t="str">
        <f>IFERROR(VLOOKUP(F905,'Taxonomy Sheet'!$E$3:$F$5,2,FALSE),"")</f>
        <v/>
      </c>
      <c r="M905" s="32" t="str">
        <f t="shared" si="13"/>
        <v/>
      </c>
    </row>
    <row r="906" spans="11:13" ht="14.25" customHeight="1" x14ac:dyDescent="0.35">
      <c r="K906" s="32" t="str">
        <f>IFERROR(VLOOKUP(G906,'Taxonomy Sheet'!$A$3:$C$6,2,FALSE),"")</f>
        <v/>
      </c>
      <c r="L906" s="32" t="str">
        <f>IFERROR(VLOOKUP(F906,'Taxonomy Sheet'!$E$3:$F$5,2,FALSE),"")</f>
        <v/>
      </c>
      <c r="M906" s="32" t="str">
        <f t="shared" si="13"/>
        <v/>
      </c>
    </row>
    <row r="907" spans="11:13" ht="14.25" customHeight="1" x14ac:dyDescent="0.35">
      <c r="K907" s="32" t="str">
        <f>IFERROR(VLOOKUP(G907,'Taxonomy Sheet'!$A$3:$C$6,2,FALSE),"")</f>
        <v/>
      </c>
      <c r="L907" s="32" t="str">
        <f>IFERROR(VLOOKUP(F907,'Taxonomy Sheet'!$E$3:$F$5,2,FALSE),"")</f>
        <v/>
      </c>
      <c r="M907" s="32" t="str">
        <f t="shared" si="13"/>
        <v/>
      </c>
    </row>
    <row r="908" spans="11:13" ht="14.25" customHeight="1" x14ac:dyDescent="0.35">
      <c r="K908" s="32" t="str">
        <f>IFERROR(VLOOKUP(G908,'Taxonomy Sheet'!$A$3:$C$6,2,FALSE),"")</f>
        <v/>
      </c>
      <c r="L908" s="32" t="str">
        <f>IFERROR(VLOOKUP(F908,'Taxonomy Sheet'!$E$3:$F$5,2,FALSE),"")</f>
        <v/>
      </c>
      <c r="M908" s="32" t="str">
        <f t="shared" si="13"/>
        <v/>
      </c>
    </row>
    <row r="909" spans="11:13" ht="14.25" customHeight="1" x14ac:dyDescent="0.35">
      <c r="K909" s="32" t="str">
        <f>IFERROR(VLOOKUP(G909,'Taxonomy Sheet'!$A$3:$C$6,2,FALSE),"")</f>
        <v/>
      </c>
      <c r="L909" s="32" t="str">
        <f>IFERROR(VLOOKUP(F909,'Taxonomy Sheet'!$E$3:$F$5,2,FALSE),"")</f>
        <v/>
      </c>
      <c r="M909" s="32" t="str">
        <f t="shared" ref="M909:M972" si="14">IF(OR(K909="",L909=""),"",K909*L909)</f>
        <v/>
      </c>
    </row>
    <row r="910" spans="11:13" ht="14.25" customHeight="1" x14ac:dyDescent="0.35">
      <c r="K910" s="32" t="str">
        <f>IFERROR(VLOOKUP(G910,'Taxonomy Sheet'!$A$3:$C$6,2,FALSE),"")</f>
        <v/>
      </c>
      <c r="L910" s="32" t="str">
        <f>IFERROR(VLOOKUP(F910,'Taxonomy Sheet'!$E$3:$F$5,2,FALSE),"")</f>
        <v/>
      </c>
      <c r="M910" s="32" t="str">
        <f t="shared" si="14"/>
        <v/>
      </c>
    </row>
    <row r="911" spans="11:13" ht="14.25" customHeight="1" x14ac:dyDescent="0.35">
      <c r="K911" s="32" t="str">
        <f>IFERROR(VLOOKUP(G911,'Taxonomy Sheet'!$A$3:$C$6,2,FALSE),"")</f>
        <v/>
      </c>
      <c r="L911" s="32" t="str">
        <f>IFERROR(VLOOKUP(F911,'Taxonomy Sheet'!$E$3:$F$5,2,FALSE),"")</f>
        <v/>
      </c>
      <c r="M911" s="32" t="str">
        <f t="shared" si="14"/>
        <v/>
      </c>
    </row>
    <row r="912" spans="11:13" ht="14.25" customHeight="1" x14ac:dyDescent="0.35">
      <c r="K912" s="32" t="str">
        <f>IFERROR(VLOOKUP(G912,'Taxonomy Sheet'!$A$3:$C$6,2,FALSE),"")</f>
        <v/>
      </c>
      <c r="L912" s="32" t="str">
        <f>IFERROR(VLOOKUP(F912,'Taxonomy Sheet'!$E$3:$F$5,2,FALSE),"")</f>
        <v/>
      </c>
      <c r="M912" s="32" t="str">
        <f t="shared" si="14"/>
        <v/>
      </c>
    </row>
    <row r="913" spans="11:13" ht="14.25" customHeight="1" x14ac:dyDescent="0.35">
      <c r="K913" s="32" t="str">
        <f>IFERROR(VLOOKUP(G913,'Taxonomy Sheet'!$A$3:$C$6,2,FALSE),"")</f>
        <v/>
      </c>
      <c r="L913" s="32" t="str">
        <f>IFERROR(VLOOKUP(F913,'Taxonomy Sheet'!$E$3:$F$5,2,FALSE),"")</f>
        <v/>
      </c>
      <c r="M913" s="32" t="str">
        <f t="shared" si="14"/>
        <v/>
      </c>
    </row>
    <row r="914" spans="11:13" ht="14.25" customHeight="1" x14ac:dyDescent="0.35">
      <c r="K914" s="32" t="str">
        <f>IFERROR(VLOOKUP(G914,'Taxonomy Sheet'!$A$3:$C$6,2,FALSE),"")</f>
        <v/>
      </c>
      <c r="L914" s="32" t="str">
        <f>IFERROR(VLOOKUP(F914,'Taxonomy Sheet'!$E$3:$F$5,2,FALSE),"")</f>
        <v/>
      </c>
      <c r="M914" s="32" t="str">
        <f t="shared" si="14"/>
        <v/>
      </c>
    </row>
    <row r="915" spans="11:13" ht="14.25" customHeight="1" x14ac:dyDescent="0.35">
      <c r="K915" s="32" t="str">
        <f>IFERROR(VLOOKUP(G915,'Taxonomy Sheet'!$A$3:$C$6,2,FALSE),"")</f>
        <v/>
      </c>
      <c r="L915" s="32" t="str">
        <f>IFERROR(VLOOKUP(F915,'Taxonomy Sheet'!$E$3:$F$5,2,FALSE),"")</f>
        <v/>
      </c>
      <c r="M915" s="32" t="str">
        <f t="shared" si="14"/>
        <v/>
      </c>
    </row>
    <row r="916" spans="11:13" ht="14.25" customHeight="1" x14ac:dyDescent="0.35">
      <c r="K916" s="32" t="str">
        <f>IFERROR(VLOOKUP(G916,'Taxonomy Sheet'!$A$3:$C$6,2,FALSE),"")</f>
        <v/>
      </c>
      <c r="L916" s="32" t="str">
        <f>IFERROR(VLOOKUP(F916,'Taxonomy Sheet'!$E$3:$F$5,2,FALSE),"")</f>
        <v/>
      </c>
      <c r="M916" s="32" t="str">
        <f t="shared" si="14"/>
        <v/>
      </c>
    </row>
    <row r="917" spans="11:13" ht="14.25" customHeight="1" x14ac:dyDescent="0.35">
      <c r="K917" s="32" t="str">
        <f>IFERROR(VLOOKUP(G917,'Taxonomy Sheet'!$A$3:$C$6,2,FALSE),"")</f>
        <v/>
      </c>
      <c r="L917" s="32" t="str">
        <f>IFERROR(VLOOKUP(F917,'Taxonomy Sheet'!$E$3:$F$5,2,FALSE),"")</f>
        <v/>
      </c>
      <c r="M917" s="32" t="str">
        <f t="shared" si="14"/>
        <v/>
      </c>
    </row>
    <row r="918" spans="11:13" ht="14.25" customHeight="1" x14ac:dyDescent="0.35">
      <c r="K918" s="32" t="str">
        <f>IFERROR(VLOOKUP(G918,'Taxonomy Sheet'!$A$3:$C$6,2,FALSE),"")</f>
        <v/>
      </c>
      <c r="L918" s="32" t="str">
        <f>IFERROR(VLOOKUP(F918,'Taxonomy Sheet'!$E$3:$F$5,2,FALSE),"")</f>
        <v/>
      </c>
      <c r="M918" s="32" t="str">
        <f t="shared" si="14"/>
        <v/>
      </c>
    </row>
    <row r="919" spans="11:13" ht="14.25" customHeight="1" x14ac:dyDescent="0.35">
      <c r="K919" s="32" t="str">
        <f>IFERROR(VLOOKUP(G919,'Taxonomy Sheet'!$A$3:$C$6,2,FALSE),"")</f>
        <v/>
      </c>
      <c r="L919" s="32" t="str">
        <f>IFERROR(VLOOKUP(F919,'Taxonomy Sheet'!$E$3:$F$5,2,FALSE),"")</f>
        <v/>
      </c>
      <c r="M919" s="32" t="str">
        <f t="shared" si="14"/>
        <v/>
      </c>
    </row>
    <row r="920" spans="11:13" ht="14.25" customHeight="1" x14ac:dyDescent="0.35">
      <c r="K920" s="32" t="str">
        <f>IFERROR(VLOOKUP(G920,'Taxonomy Sheet'!$A$3:$C$6,2,FALSE),"")</f>
        <v/>
      </c>
      <c r="L920" s="32" t="str">
        <f>IFERROR(VLOOKUP(F920,'Taxonomy Sheet'!$E$3:$F$5,2,FALSE),"")</f>
        <v/>
      </c>
      <c r="M920" s="32" t="str">
        <f t="shared" si="14"/>
        <v/>
      </c>
    </row>
    <row r="921" spans="11:13" ht="14.25" customHeight="1" x14ac:dyDescent="0.35">
      <c r="K921" s="32" t="str">
        <f>IFERROR(VLOOKUP(G921,'Taxonomy Sheet'!$A$3:$C$6,2,FALSE),"")</f>
        <v/>
      </c>
      <c r="L921" s="32" t="str">
        <f>IFERROR(VLOOKUP(F921,'Taxonomy Sheet'!$E$3:$F$5,2,FALSE),"")</f>
        <v/>
      </c>
      <c r="M921" s="32" t="str">
        <f t="shared" si="14"/>
        <v/>
      </c>
    </row>
    <row r="922" spans="11:13" ht="14.25" customHeight="1" x14ac:dyDescent="0.35">
      <c r="K922" s="32" t="str">
        <f>IFERROR(VLOOKUP(G922,'Taxonomy Sheet'!$A$3:$C$6,2,FALSE),"")</f>
        <v/>
      </c>
      <c r="L922" s="32" t="str">
        <f>IFERROR(VLOOKUP(F922,'Taxonomy Sheet'!$E$3:$F$5,2,FALSE),"")</f>
        <v/>
      </c>
      <c r="M922" s="32" t="str">
        <f t="shared" si="14"/>
        <v/>
      </c>
    </row>
    <row r="923" spans="11:13" ht="14.25" customHeight="1" x14ac:dyDescent="0.35">
      <c r="K923" s="32" t="str">
        <f>IFERROR(VLOOKUP(G923,'Taxonomy Sheet'!$A$3:$C$6,2,FALSE),"")</f>
        <v/>
      </c>
      <c r="L923" s="32" t="str">
        <f>IFERROR(VLOOKUP(F923,'Taxonomy Sheet'!$E$3:$F$5,2,FALSE),"")</f>
        <v/>
      </c>
      <c r="M923" s="32" t="str">
        <f t="shared" si="14"/>
        <v/>
      </c>
    </row>
    <row r="924" spans="11:13" ht="14.25" customHeight="1" x14ac:dyDescent="0.35">
      <c r="K924" s="32" t="str">
        <f>IFERROR(VLOOKUP(G924,'Taxonomy Sheet'!$A$3:$C$6,2,FALSE),"")</f>
        <v/>
      </c>
      <c r="L924" s="32" t="str">
        <f>IFERROR(VLOOKUP(F924,'Taxonomy Sheet'!$E$3:$F$5,2,FALSE),"")</f>
        <v/>
      </c>
      <c r="M924" s="32" t="str">
        <f t="shared" si="14"/>
        <v/>
      </c>
    </row>
    <row r="925" spans="11:13" ht="14.25" customHeight="1" x14ac:dyDescent="0.35">
      <c r="K925" s="32" t="str">
        <f>IFERROR(VLOOKUP(G925,'Taxonomy Sheet'!$A$3:$C$6,2,FALSE),"")</f>
        <v/>
      </c>
      <c r="L925" s="32" t="str">
        <f>IFERROR(VLOOKUP(F925,'Taxonomy Sheet'!$E$3:$F$5,2,FALSE),"")</f>
        <v/>
      </c>
      <c r="M925" s="32" t="str">
        <f t="shared" si="14"/>
        <v/>
      </c>
    </row>
    <row r="926" spans="11:13" ht="14.25" customHeight="1" x14ac:dyDescent="0.35">
      <c r="K926" s="32" t="str">
        <f>IFERROR(VLOOKUP(G926,'Taxonomy Sheet'!$A$3:$C$6,2,FALSE),"")</f>
        <v/>
      </c>
      <c r="L926" s="32" t="str">
        <f>IFERROR(VLOOKUP(F926,'Taxonomy Sheet'!$E$3:$F$5,2,FALSE),"")</f>
        <v/>
      </c>
      <c r="M926" s="32" t="str">
        <f t="shared" si="14"/>
        <v/>
      </c>
    </row>
    <row r="927" spans="11:13" ht="14.25" customHeight="1" x14ac:dyDescent="0.35">
      <c r="K927" s="32" t="str">
        <f>IFERROR(VLOOKUP(G927,'Taxonomy Sheet'!$A$3:$C$6,2,FALSE),"")</f>
        <v/>
      </c>
      <c r="L927" s="32" t="str">
        <f>IFERROR(VLOOKUP(F927,'Taxonomy Sheet'!$E$3:$F$5,2,FALSE),"")</f>
        <v/>
      </c>
      <c r="M927" s="32" t="str">
        <f t="shared" si="14"/>
        <v/>
      </c>
    </row>
    <row r="928" spans="11:13" ht="14.25" customHeight="1" x14ac:dyDescent="0.35">
      <c r="K928" s="32" t="str">
        <f>IFERROR(VLOOKUP(G928,'Taxonomy Sheet'!$A$3:$C$6,2,FALSE),"")</f>
        <v/>
      </c>
      <c r="L928" s="32" t="str">
        <f>IFERROR(VLOOKUP(F928,'Taxonomy Sheet'!$E$3:$F$5,2,FALSE),"")</f>
        <v/>
      </c>
      <c r="M928" s="32" t="str">
        <f t="shared" si="14"/>
        <v/>
      </c>
    </row>
    <row r="929" spans="11:13" ht="14.25" customHeight="1" x14ac:dyDescent="0.35">
      <c r="K929" s="32" t="str">
        <f>IFERROR(VLOOKUP(G929,'Taxonomy Sheet'!$A$3:$C$6,2,FALSE),"")</f>
        <v/>
      </c>
      <c r="L929" s="32" t="str">
        <f>IFERROR(VLOOKUP(F929,'Taxonomy Sheet'!$E$3:$F$5,2,FALSE),"")</f>
        <v/>
      </c>
      <c r="M929" s="32" t="str">
        <f t="shared" si="14"/>
        <v/>
      </c>
    </row>
    <row r="930" spans="11:13" ht="14.25" customHeight="1" x14ac:dyDescent="0.35">
      <c r="K930" s="32" t="str">
        <f>IFERROR(VLOOKUP(G930,'Taxonomy Sheet'!$A$3:$C$6,2,FALSE),"")</f>
        <v/>
      </c>
      <c r="L930" s="32" t="str">
        <f>IFERROR(VLOOKUP(F930,'Taxonomy Sheet'!$E$3:$F$5,2,FALSE),"")</f>
        <v/>
      </c>
      <c r="M930" s="32" t="str">
        <f t="shared" si="14"/>
        <v/>
      </c>
    </row>
    <row r="931" spans="11:13" ht="14.25" customHeight="1" x14ac:dyDescent="0.35">
      <c r="K931" s="32" t="str">
        <f>IFERROR(VLOOKUP(G931,'Taxonomy Sheet'!$A$3:$C$6,2,FALSE),"")</f>
        <v/>
      </c>
      <c r="L931" s="32" t="str">
        <f>IFERROR(VLOOKUP(F931,'Taxonomy Sheet'!$E$3:$F$5,2,FALSE),"")</f>
        <v/>
      </c>
      <c r="M931" s="32" t="str">
        <f t="shared" si="14"/>
        <v/>
      </c>
    </row>
    <row r="932" spans="11:13" ht="14.25" customHeight="1" x14ac:dyDescent="0.35">
      <c r="K932" s="32" t="str">
        <f>IFERROR(VLOOKUP(G932,'Taxonomy Sheet'!$A$3:$C$6,2,FALSE),"")</f>
        <v/>
      </c>
      <c r="L932" s="32" t="str">
        <f>IFERROR(VLOOKUP(F932,'Taxonomy Sheet'!$E$3:$F$5,2,FALSE),"")</f>
        <v/>
      </c>
      <c r="M932" s="32" t="str">
        <f t="shared" si="14"/>
        <v/>
      </c>
    </row>
    <row r="933" spans="11:13" ht="14.25" customHeight="1" x14ac:dyDescent="0.35">
      <c r="K933" s="32" t="str">
        <f>IFERROR(VLOOKUP(G933,'Taxonomy Sheet'!$A$3:$C$6,2,FALSE),"")</f>
        <v/>
      </c>
      <c r="L933" s="32" t="str">
        <f>IFERROR(VLOOKUP(F933,'Taxonomy Sheet'!$E$3:$F$5,2,FALSE),"")</f>
        <v/>
      </c>
      <c r="M933" s="32" t="str">
        <f t="shared" si="14"/>
        <v/>
      </c>
    </row>
    <row r="934" spans="11:13" ht="14.25" customHeight="1" x14ac:dyDescent="0.35">
      <c r="K934" s="32" t="str">
        <f>IFERROR(VLOOKUP(G934,'Taxonomy Sheet'!$A$3:$C$6,2,FALSE),"")</f>
        <v/>
      </c>
      <c r="L934" s="32" t="str">
        <f>IFERROR(VLOOKUP(F934,'Taxonomy Sheet'!$E$3:$F$5,2,FALSE),"")</f>
        <v/>
      </c>
      <c r="M934" s="32" t="str">
        <f t="shared" si="14"/>
        <v/>
      </c>
    </row>
    <row r="935" spans="11:13" ht="14.25" customHeight="1" x14ac:dyDescent="0.35">
      <c r="K935" s="32" t="str">
        <f>IFERROR(VLOOKUP(G935,'Taxonomy Sheet'!$A$3:$C$6,2,FALSE),"")</f>
        <v/>
      </c>
      <c r="L935" s="32" t="str">
        <f>IFERROR(VLOOKUP(F935,'Taxonomy Sheet'!$E$3:$F$5,2,FALSE),"")</f>
        <v/>
      </c>
      <c r="M935" s="32" t="str">
        <f t="shared" si="14"/>
        <v/>
      </c>
    </row>
    <row r="936" spans="11:13" ht="14.25" customHeight="1" x14ac:dyDescent="0.35">
      <c r="K936" s="32" t="str">
        <f>IFERROR(VLOOKUP(G936,'Taxonomy Sheet'!$A$3:$C$6,2,FALSE),"")</f>
        <v/>
      </c>
      <c r="L936" s="32" t="str">
        <f>IFERROR(VLOOKUP(F936,'Taxonomy Sheet'!$E$3:$F$5,2,FALSE),"")</f>
        <v/>
      </c>
      <c r="M936" s="32" t="str">
        <f t="shared" si="14"/>
        <v/>
      </c>
    </row>
    <row r="937" spans="11:13" ht="14.25" customHeight="1" x14ac:dyDescent="0.35">
      <c r="K937" s="32" t="str">
        <f>IFERROR(VLOOKUP(G937,'Taxonomy Sheet'!$A$3:$C$6,2,FALSE),"")</f>
        <v/>
      </c>
      <c r="L937" s="32" t="str">
        <f>IFERROR(VLOOKUP(F937,'Taxonomy Sheet'!$E$3:$F$5,2,FALSE),"")</f>
        <v/>
      </c>
      <c r="M937" s="32" t="str">
        <f t="shared" si="14"/>
        <v/>
      </c>
    </row>
    <row r="938" spans="11:13" ht="14.25" customHeight="1" x14ac:dyDescent="0.35">
      <c r="K938" s="32" t="str">
        <f>IFERROR(VLOOKUP(G938,'Taxonomy Sheet'!$A$3:$C$6,2,FALSE),"")</f>
        <v/>
      </c>
      <c r="L938" s="32" t="str">
        <f>IFERROR(VLOOKUP(F938,'Taxonomy Sheet'!$E$3:$F$5,2,FALSE),"")</f>
        <v/>
      </c>
      <c r="M938" s="32" t="str">
        <f t="shared" si="14"/>
        <v/>
      </c>
    </row>
    <row r="939" spans="11:13" ht="14.25" customHeight="1" x14ac:dyDescent="0.35">
      <c r="K939" s="32" t="str">
        <f>IFERROR(VLOOKUP(G939,'Taxonomy Sheet'!$A$3:$C$6,2,FALSE),"")</f>
        <v/>
      </c>
      <c r="L939" s="32" t="str">
        <f>IFERROR(VLOOKUP(F939,'Taxonomy Sheet'!$E$3:$F$5,2,FALSE),"")</f>
        <v/>
      </c>
      <c r="M939" s="32" t="str">
        <f t="shared" si="14"/>
        <v/>
      </c>
    </row>
    <row r="940" spans="11:13" ht="14.25" customHeight="1" x14ac:dyDescent="0.35">
      <c r="K940" s="32" t="str">
        <f>IFERROR(VLOOKUP(G940,'Taxonomy Sheet'!$A$3:$C$6,2,FALSE),"")</f>
        <v/>
      </c>
      <c r="L940" s="32" t="str">
        <f>IFERROR(VLOOKUP(F940,'Taxonomy Sheet'!$E$3:$F$5,2,FALSE),"")</f>
        <v/>
      </c>
      <c r="M940" s="32" t="str">
        <f t="shared" si="14"/>
        <v/>
      </c>
    </row>
    <row r="941" spans="11:13" ht="14.25" customHeight="1" x14ac:dyDescent="0.35">
      <c r="K941" s="32" t="str">
        <f>IFERROR(VLOOKUP(G941,'Taxonomy Sheet'!$A$3:$C$6,2,FALSE),"")</f>
        <v/>
      </c>
      <c r="L941" s="32" t="str">
        <f>IFERROR(VLOOKUP(F941,'Taxonomy Sheet'!$E$3:$F$5,2,FALSE),"")</f>
        <v/>
      </c>
      <c r="M941" s="32" t="str">
        <f t="shared" si="14"/>
        <v/>
      </c>
    </row>
    <row r="942" spans="11:13" ht="14.25" customHeight="1" x14ac:dyDescent="0.35">
      <c r="K942" s="32" t="str">
        <f>IFERROR(VLOOKUP(G942,'Taxonomy Sheet'!$A$3:$C$6,2,FALSE),"")</f>
        <v/>
      </c>
      <c r="L942" s="32" t="str">
        <f>IFERROR(VLOOKUP(F942,'Taxonomy Sheet'!$E$3:$F$5,2,FALSE),"")</f>
        <v/>
      </c>
      <c r="M942" s="32" t="str">
        <f t="shared" si="14"/>
        <v/>
      </c>
    </row>
    <row r="943" spans="11:13" ht="14.25" customHeight="1" x14ac:dyDescent="0.35">
      <c r="K943" s="32" t="str">
        <f>IFERROR(VLOOKUP(G943,'Taxonomy Sheet'!$A$3:$C$6,2,FALSE),"")</f>
        <v/>
      </c>
      <c r="L943" s="32" t="str">
        <f>IFERROR(VLOOKUP(F943,'Taxonomy Sheet'!$E$3:$F$5,2,FALSE),"")</f>
        <v/>
      </c>
      <c r="M943" s="32" t="str">
        <f t="shared" si="14"/>
        <v/>
      </c>
    </row>
    <row r="944" spans="11:13" ht="14.25" customHeight="1" x14ac:dyDescent="0.35">
      <c r="K944" s="32" t="str">
        <f>IFERROR(VLOOKUP(G944,'Taxonomy Sheet'!$A$3:$C$6,2,FALSE),"")</f>
        <v/>
      </c>
      <c r="L944" s="32" t="str">
        <f>IFERROR(VLOOKUP(F944,'Taxonomy Sheet'!$E$3:$F$5,2,FALSE),"")</f>
        <v/>
      </c>
      <c r="M944" s="32" t="str">
        <f t="shared" si="14"/>
        <v/>
      </c>
    </row>
    <row r="945" spans="11:13" ht="14.25" customHeight="1" x14ac:dyDescent="0.35">
      <c r="K945" s="32" t="str">
        <f>IFERROR(VLOOKUP(G945,'Taxonomy Sheet'!$A$3:$C$6,2,FALSE),"")</f>
        <v/>
      </c>
      <c r="L945" s="32" t="str">
        <f>IFERROR(VLOOKUP(F945,'Taxonomy Sheet'!$E$3:$F$5,2,FALSE),"")</f>
        <v/>
      </c>
      <c r="M945" s="32" t="str">
        <f t="shared" si="14"/>
        <v/>
      </c>
    </row>
    <row r="946" spans="11:13" ht="14.25" customHeight="1" x14ac:dyDescent="0.35">
      <c r="K946" s="32" t="str">
        <f>IFERROR(VLOOKUP(G946,'Taxonomy Sheet'!$A$3:$C$6,2,FALSE),"")</f>
        <v/>
      </c>
      <c r="L946" s="32" t="str">
        <f>IFERROR(VLOOKUP(F946,'Taxonomy Sheet'!$E$3:$F$5,2,FALSE),"")</f>
        <v/>
      </c>
      <c r="M946" s="32" t="str">
        <f t="shared" si="14"/>
        <v/>
      </c>
    </row>
    <row r="947" spans="11:13" ht="14.25" customHeight="1" x14ac:dyDescent="0.35">
      <c r="K947" s="32" t="str">
        <f>IFERROR(VLOOKUP(G947,'Taxonomy Sheet'!$A$3:$C$6,2,FALSE),"")</f>
        <v/>
      </c>
      <c r="L947" s="32" t="str">
        <f>IFERROR(VLOOKUP(F947,'Taxonomy Sheet'!$E$3:$F$5,2,FALSE),"")</f>
        <v/>
      </c>
      <c r="M947" s="32" t="str">
        <f t="shared" si="14"/>
        <v/>
      </c>
    </row>
    <row r="948" spans="11:13" ht="14.25" customHeight="1" x14ac:dyDescent="0.35">
      <c r="K948" s="32" t="str">
        <f>IFERROR(VLOOKUP(G948,'Taxonomy Sheet'!$A$3:$C$6,2,FALSE),"")</f>
        <v/>
      </c>
      <c r="L948" s="32" t="str">
        <f>IFERROR(VLOOKUP(F948,'Taxonomy Sheet'!$E$3:$F$5,2,FALSE),"")</f>
        <v/>
      </c>
      <c r="M948" s="32" t="str">
        <f t="shared" si="14"/>
        <v/>
      </c>
    </row>
    <row r="949" spans="11:13" ht="14.25" customHeight="1" x14ac:dyDescent="0.35">
      <c r="K949" s="32" t="str">
        <f>IFERROR(VLOOKUP(G949,'Taxonomy Sheet'!$A$3:$C$6,2,FALSE),"")</f>
        <v/>
      </c>
      <c r="L949" s="32" t="str">
        <f>IFERROR(VLOOKUP(F949,'Taxonomy Sheet'!$E$3:$F$5,2,FALSE),"")</f>
        <v/>
      </c>
      <c r="M949" s="32" t="str">
        <f t="shared" si="14"/>
        <v/>
      </c>
    </row>
    <row r="950" spans="11:13" ht="14.25" customHeight="1" x14ac:dyDescent="0.35">
      <c r="K950" s="32" t="str">
        <f>IFERROR(VLOOKUP(G950,'Taxonomy Sheet'!$A$3:$C$6,2,FALSE),"")</f>
        <v/>
      </c>
      <c r="L950" s="32" t="str">
        <f>IFERROR(VLOOKUP(F950,'Taxonomy Sheet'!$E$3:$F$5,2,FALSE),"")</f>
        <v/>
      </c>
      <c r="M950" s="32" t="str">
        <f t="shared" si="14"/>
        <v/>
      </c>
    </row>
    <row r="951" spans="11:13" ht="14.25" customHeight="1" x14ac:dyDescent="0.35">
      <c r="K951" s="32" t="str">
        <f>IFERROR(VLOOKUP(G951,'Taxonomy Sheet'!$A$3:$C$6,2,FALSE),"")</f>
        <v/>
      </c>
      <c r="L951" s="32" t="str">
        <f>IFERROR(VLOOKUP(F951,'Taxonomy Sheet'!$E$3:$F$5,2,FALSE),"")</f>
        <v/>
      </c>
      <c r="M951" s="32" t="str">
        <f t="shared" si="14"/>
        <v/>
      </c>
    </row>
    <row r="952" spans="11:13" ht="14.25" customHeight="1" x14ac:dyDescent="0.35">
      <c r="K952" s="32" t="str">
        <f>IFERROR(VLOOKUP(G952,'Taxonomy Sheet'!$A$3:$C$6,2,FALSE),"")</f>
        <v/>
      </c>
      <c r="L952" s="32" t="str">
        <f>IFERROR(VLOOKUP(F952,'Taxonomy Sheet'!$E$3:$F$5,2,FALSE),"")</f>
        <v/>
      </c>
      <c r="M952" s="32" t="str">
        <f t="shared" si="14"/>
        <v/>
      </c>
    </row>
    <row r="953" spans="11:13" ht="14.25" customHeight="1" x14ac:dyDescent="0.35">
      <c r="K953" s="32" t="str">
        <f>IFERROR(VLOOKUP(G953,'Taxonomy Sheet'!$A$3:$C$6,2,FALSE),"")</f>
        <v/>
      </c>
      <c r="L953" s="32" t="str">
        <f>IFERROR(VLOOKUP(F953,'Taxonomy Sheet'!$E$3:$F$5,2,FALSE),"")</f>
        <v/>
      </c>
      <c r="M953" s="32" t="str">
        <f t="shared" si="14"/>
        <v/>
      </c>
    </row>
    <row r="954" spans="11:13" ht="14.25" customHeight="1" x14ac:dyDescent="0.35">
      <c r="K954" s="32" t="str">
        <f>IFERROR(VLOOKUP(G954,'Taxonomy Sheet'!$A$3:$C$6,2,FALSE),"")</f>
        <v/>
      </c>
      <c r="L954" s="32" t="str">
        <f>IFERROR(VLOOKUP(F954,'Taxonomy Sheet'!$E$3:$F$5,2,FALSE),"")</f>
        <v/>
      </c>
      <c r="M954" s="32" t="str">
        <f t="shared" si="14"/>
        <v/>
      </c>
    </row>
    <row r="955" spans="11:13" ht="14.25" customHeight="1" x14ac:dyDescent="0.35">
      <c r="K955" s="32" t="str">
        <f>IFERROR(VLOOKUP(G955,'Taxonomy Sheet'!$A$3:$C$6,2,FALSE),"")</f>
        <v/>
      </c>
      <c r="L955" s="32" t="str">
        <f>IFERROR(VLOOKUP(F955,'Taxonomy Sheet'!$E$3:$F$5,2,FALSE),"")</f>
        <v/>
      </c>
      <c r="M955" s="32" t="str">
        <f t="shared" si="14"/>
        <v/>
      </c>
    </row>
    <row r="956" spans="11:13" ht="14.25" customHeight="1" x14ac:dyDescent="0.35">
      <c r="K956" s="32" t="str">
        <f>IFERROR(VLOOKUP(G956,'Taxonomy Sheet'!$A$3:$C$6,2,FALSE),"")</f>
        <v/>
      </c>
      <c r="L956" s="32" t="str">
        <f>IFERROR(VLOOKUP(F956,'Taxonomy Sheet'!$E$3:$F$5,2,FALSE),"")</f>
        <v/>
      </c>
      <c r="M956" s="32" t="str">
        <f t="shared" si="14"/>
        <v/>
      </c>
    </row>
    <row r="957" spans="11:13" ht="14.25" customHeight="1" x14ac:dyDescent="0.35">
      <c r="K957" s="32" t="str">
        <f>IFERROR(VLOOKUP(G957,'Taxonomy Sheet'!$A$3:$C$6,2,FALSE),"")</f>
        <v/>
      </c>
      <c r="L957" s="32" t="str">
        <f>IFERROR(VLOOKUP(F957,'Taxonomy Sheet'!$E$3:$F$5,2,FALSE),"")</f>
        <v/>
      </c>
      <c r="M957" s="32" t="str">
        <f t="shared" si="14"/>
        <v/>
      </c>
    </row>
    <row r="958" spans="11:13" ht="14.25" customHeight="1" x14ac:dyDescent="0.35">
      <c r="K958" s="32" t="str">
        <f>IFERROR(VLOOKUP(G958,'Taxonomy Sheet'!$A$3:$C$6,2,FALSE),"")</f>
        <v/>
      </c>
      <c r="L958" s="32" t="str">
        <f>IFERROR(VLOOKUP(F958,'Taxonomy Sheet'!$E$3:$F$5,2,FALSE),"")</f>
        <v/>
      </c>
      <c r="M958" s="32" t="str">
        <f t="shared" si="14"/>
        <v/>
      </c>
    </row>
    <row r="959" spans="11:13" ht="14.25" customHeight="1" x14ac:dyDescent="0.35">
      <c r="K959" s="32" t="str">
        <f>IFERROR(VLOOKUP(G959,'Taxonomy Sheet'!$A$3:$C$6,2,FALSE),"")</f>
        <v/>
      </c>
      <c r="L959" s="32" t="str">
        <f>IFERROR(VLOOKUP(F959,'Taxonomy Sheet'!$E$3:$F$5,2,FALSE),"")</f>
        <v/>
      </c>
      <c r="M959" s="32" t="str">
        <f t="shared" si="14"/>
        <v/>
      </c>
    </row>
    <row r="960" spans="11:13" ht="14.25" customHeight="1" x14ac:dyDescent="0.35">
      <c r="K960" s="32" t="str">
        <f>IFERROR(VLOOKUP(G960,'Taxonomy Sheet'!$A$3:$C$6,2,FALSE),"")</f>
        <v/>
      </c>
      <c r="L960" s="32" t="str">
        <f>IFERROR(VLOOKUP(F960,'Taxonomy Sheet'!$E$3:$F$5,2,FALSE),"")</f>
        <v/>
      </c>
      <c r="M960" s="32" t="str">
        <f t="shared" si="14"/>
        <v/>
      </c>
    </row>
    <row r="961" spans="11:13" ht="14.25" customHeight="1" x14ac:dyDescent="0.35">
      <c r="K961" s="32" t="str">
        <f>IFERROR(VLOOKUP(G961,'Taxonomy Sheet'!$A$3:$C$6,2,FALSE),"")</f>
        <v/>
      </c>
      <c r="L961" s="32" t="str">
        <f>IFERROR(VLOOKUP(F961,'Taxonomy Sheet'!$E$3:$F$5,2,FALSE),"")</f>
        <v/>
      </c>
      <c r="M961" s="32" t="str">
        <f t="shared" si="14"/>
        <v/>
      </c>
    </row>
    <row r="962" spans="11:13" ht="14.25" customHeight="1" x14ac:dyDescent="0.35">
      <c r="K962" s="32" t="str">
        <f>IFERROR(VLOOKUP(G962,'Taxonomy Sheet'!$A$3:$C$6,2,FALSE),"")</f>
        <v/>
      </c>
      <c r="L962" s="32" t="str">
        <f>IFERROR(VLOOKUP(F962,'Taxonomy Sheet'!$E$3:$F$5,2,FALSE),"")</f>
        <v/>
      </c>
      <c r="M962" s="32" t="str">
        <f t="shared" si="14"/>
        <v/>
      </c>
    </row>
    <row r="963" spans="11:13" ht="14.25" customHeight="1" x14ac:dyDescent="0.35">
      <c r="K963" s="32" t="str">
        <f>IFERROR(VLOOKUP(G963,'Taxonomy Sheet'!$A$3:$C$6,2,FALSE),"")</f>
        <v/>
      </c>
      <c r="L963" s="32" t="str">
        <f>IFERROR(VLOOKUP(F963,'Taxonomy Sheet'!$E$3:$F$5,2,FALSE),"")</f>
        <v/>
      </c>
      <c r="M963" s="32" t="str">
        <f t="shared" si="14"/>
        <v/>
      </c>
    </row>
    <row r="964" spans="11:13" ht="14.25" customHeight="1" x14ac:dyDescent="0.35">
      <c r="K964" s="32" t="str">
        <f>IFERROR(VLOOKUP(G964,'Taxonomy Sheet'!$A$3:$C$6,2,FALSE),"")</f>
        <v/>
      </c>
      <c r="L964" s="32" t="str">
        <f>IFERROR(VLOOKUP(F964,'Taxonomy Sheet'!$E$3:$F$5,2,FALSE),"")</f>
        <v/>
      </c>
      <c r="M964" s="32" t="str">
        <f t="shared" si="14"/>
        <v/>
      </c>
    </row>
    <row r="965" spans="11:13" ht="14.25" customHeight="1" x14ac:dyDescent="0.35">
      <c r="K965" s="32" t="str">
        <f>IFERROR(VLOOKUP(G965,'Taxonomy Sheet'!$A$3:$C$6,2,FALSE),"")</f>
        <v/>
      </c>
      <c r="L965" s="32" t="str">
        <f>IFERROR(VLOOKUP(F965,'Taxonomy Sheet'!$E$3:$F$5,2,FALSE),"")</f>
        <v/>
      </c>
      <c r="M965" s="32" t="str">
        <f t="shared" si="14"/>
        <v/>
      </c>
    </row>
    <row r="966" spans="11:13" ht="14.25" customHeight="1" x14ac:dyDescent="0.35">
      <c r="K966" s="32" t="str">
        <f>IFERROR(VLOOKUP(G966,'Taxonomy Sheet'!$A$3:$C$6,2,FALSE),"")</f>
        <v/>
      </c>
      <c r="L966" s="32" t="str">
        <f>IFERROR(VLOOKUP(F966,'Taxonomy Sheet'!$E$3:$F$5,2,FALSE),"")</f>
        <v/>
      </c>
      <c r="M966" s="32" t="str">
        <f t="shared" si="14"/>
        <v/>
      </c>
    </row>
    <row r="967" spans="11:13" ht="14.25" customHeight="1" x14ac:dyDescent="0.35">
      <c r="K967" s="32" t="str">
        <f>IFERROR(VLOOKUP(G967,'Taxonomy Sheet'!$A$3:$C$6,2,FALSE),"")</f>
        <v/>
      </c>
      <c r="L967" s="32" t="str">
        <f>IFERROR(VLOOKUP(F967,'Taxonomy Sheet'!$E$3:$F$5,2,FALSE),"")</f>
        <v/>
      </c>
      <c r="M967" s="32" t="str">
        <f t="shared" si="14"/>
        <v/>
      </c>
    </row>
    <row r="968" spans="11:13" ht="14.25" customHeight="1" x14ac:dyDescent="0.35">
      <c r="K968" s="32" t="str">
        <f>IFERROR(VLOOKUP(G968,'Taxonomy Sheet'!$A$3:$C$6,2,FALSE),"")</f>
        <v/>
      </c>
      <c r="L968" s="32" t="str">
        <f>IFERROR(VLOOKUP(F968,'Taxonomy Sheet'!$E$3:$F$5,2,FALSE),"")</f>
        <v/>
      </c>
      <c r="M968" s="32" t="str">
        <f t="shared" si="14"/>
        <v/>
      </c>
    </row>
    <row r="969" spans="11:13" ht="14.25" customHeight="1" x14ac:dyDescent="0.35">
      <c r="K969" s="32" t="str">
        <f>IFERROR(VLOOKUP(G969,'Taxonomy Sheet'!$A$3:$C$6,2,FALSE),"")</f>
        <v/>
      </c>
      <c r="L969" s="32" t="str">
        <f>IFERROR(VLOOKUP(F969,'Taxonomy Sheet'!$E$3:$F$5,2,FALSE),"")</f>
        <v/>
      </c>
      <c r="M969" s="32" t="str">
        <f t="shared" si="14"/>
        <v/>
      </c>
    </row>
    <row r="970" spans="11:13" ht="14.25" customHeight="1" x14ac:dyDescent="0.35">
      <c r="K970" s="32" t="str">
        <f>IFERROR(VLOOKUP(G970,'Taxonomy Sheet'!$A$3:$C$6,2,FALSE),"")</f>
        <v/>
      </c>
      <c r="L970" s="32" t="str">
        <f>IFERROR(VLOOKUP(F970,'Taxonomy Sheet'!$E$3:$F$5,2,FALSE),"")</f>
        <v/>
      </c>
      <c r="M970" s="32" t="str">
        <f t="shared" si="14"/>
        <v/>
      </c>
    </row>
    <row r="971" spans="11:13" ht="14.25" customHeight="1" x14ac:dyDescent="0.35">
      <c r="K971" s="32" t="str">
        <f>IFERROR(VLOOKUP(G971,'Taxonomy Sheet'!$A$3:$C$6,2,FALSE),"")</f>
        <v/>
      </c>
      <c r="L971" s="32" t="str">
        <f>IFERROR(VLOOKUP(F971,'Taxonomy Sheet'!$E$3:$F$5,2,FALSE),"")</f>
        <v/>
      </c>
      <c r="M971" s="32" t="str">
        <f t="shared" si="14"/>
        <v/>
      </c>
    </row>
    <row r="972" spans="11:13" ht="14.25" customHeight="1" x14ac:dyDescent="0.35">
      <c r="K972" s="32" t="str">
        <f>IFERROR(VLOOKUP(G972,'Taxonomy Sheet'!$A$3:$C$6,2,FALSE),"")</f>
        <v/>
      </c>
      <c r="L972" s="32" t="str">
        <f>IFERROR(VLOOKUP(F972,'Taxonomy Sheet'!$E$3:$F$5,2,FALSE),"")</f>
        <v/>
      </c>
      <c r="M972" s="32" t="str">
        <f t="shared" si="14"/>
        <v/>
      </c>
    </row>
    <row r="973" spans="11:13" ht="14.25" customHeight="1" x14ac:dyDescent="0.35">
      <c r="K973" s="32" t="str">
        <f>IFERROR(VLOOKUP(G973,'Taxonomy Sheet'!$A$3:$C$6,2,FALSE),"")</f>
        <v/>
      </c>
      <c r="L973" s="32" t="str">
        <f>IFERROR(VLOOKUP(F973,'Taxonomy Sheet'!$E$3:$F$5,2,FALSE),"")</f>
        <v/>
      </c>
      <c r="M973" s="32" t="str">
        <f t="shared" ref="M973:M1011" si="15">IF(OR(K973="",L973=""),"",K973*L973)</f>
        <v/>
      </c>
    </row>
    <row r="974" spans="11:13" ht="14.25" customHeight="1" x14ac:dyDescent="0.35">
      <c r="K974" s="32" t="str">
        <f>IFERROR(VLOOKUP(G974,'Taxonomy Sheet'!$A$3:$C$6,2,FALSE),"")</f>
        <v/>
      </c>
      <c r="L974" s="32" t="str">
        <f>IFERROR(VLOOKUP(F974,'Taxonomy Sheet'!$E$3:$F$5,2,FALSE),"")</f>
        <v/>
      </c>
      <c r="M974" s="32" t="str">
        <f t="shared" si="15"/>
        <v/>
      </c>
    </row>
    <row r="975" spans="11:13" ht="14.25" customHeight="1" x14ac:dyDescent="0.35">
      <c r="K975" s="32" t="str">
        <f>IFERROR(VLOOKUP(G975,'Taxonomy Sheet'!$A$3:$C$6,2,FALSE),"")</f>
        <v/>
      </c>
      <c r="L975" s="32" t="str">
        <f>IFERROR(VLOOKUP(F975,'Taxonomy Sheet'!$E$3:$F$5,2,FALSE),"")</f>
        <v/>
      </c>
      <c r="M975" s="32" t="str">
        <f t="shared" si="15"/>
        <v/>
      </c>
    </row>
    <row r="976" spans="11:13" ht="14.25" customHeight="1" x14ac:dyDescent="0.35">
      <c r="K976" s="32" t="str">
        <f>IFERROR(VLOOKUP(G976,'Taxonomy Sheet'!$A$3:$C$6,2,FALSE),"")</f>
        <v/>
      </c>
      <c r="L976" s="32" t="str">
        <f>IFERROR(VLOOKUP(F976,'Taxonomy Sheet'!$E$3:$F$5,2,FALSE),"")</f>
        <v/>
      </c>
      <c r="M976" s="32" t="str">
        <f t="shared" si="15"/>
        <v/>
      </c>
    </row>
    <row r="977" spans="11:13" ht="14.25" customHeight="1" x14ac:dyDescent="0.35">
      <c r="K977" s="32" t="str">
        <f>IFERROR(VLOOKUP(G977,'Taxonomy Sheet'!$A$3:$C$6,2,FALSE),"")</f>
        <v/>
      </c>
      <c r="L977" s="32" t="str">
        <f>IFERROR(VLOOKUP(F977,'Taxonomy Sheet'!$E$3:$F$5,2,FALSE),"")</f>
        <v/>
      </c>
      <c r="M977" s="32" t="str">
        <f t="shared" si="15"/>
        <v/>
      </c>
    </row>
    <row r="978" spans="11:13" ht="14.25" customHeight="1" x14ac:dyDescent="0.35">
      <c r="K978" s="32" t="str">
        <f>IFERROR(VLOOKUP(G978,'Taxonomy Sheet'!$A$3:$C$6,2,FALSE),"")</f>
        <v/>
      </c>
      <c r="L978" s="32" t="str">
        <f>IFERROR(VLOOKUP(F978,'Taxonomy Sheet'!$E$3:$F$5,2,FALSE),"")</f>
        <v/>
      </c>
      <c r="M978" s="32" t="str">
        <f t="shared" si="15"/>
        <v/>
      </c>
    </row>
    <row r="979" spans="11:13" ht="14.25" customHeight="1" x14ac:dyDescent="0.35">
      <c r="K979" s="32" t="str">
        <f>IFERROR(VLOOKUP(G979,'Taxonomy Sheet'!$A$3:$C$6,2,FALSE),"")</f>
        <v/>
      </c>
      <c r="L979" s="32" t="str">
        <f>IFERROR(VLOOKUP(F979,'Taxonomy Sheet'!$E$3:$F$5,2,FALSE),"")</f>
        <v/>
      </c>
      <c r="M979" s="32" t="str">
        <f t="shared" si="15"/>
        <v/>
      </c>
    </row>
    <row r="980" spans="11:13" ht="14.25" customHeight="1" x14ac:dyDescent="0.35">
      <c r="K980" s="32" t="str">
        <f>IFERROR(VLOOKUP(G980,'Taxonomy Sheet'!$A$3:$C$6,2,FALSE),"")</f>
        <v/>
      </c>
      <c r="L980" s="32" t="str">
        <f>IFERROR(VLOOKUP(F980,'Taxonomy Sheet'!$E$3:$F$5,2,FALSE),"")</f>
        <v/>
      </c>
      <c r="M980" s="32" t="str">
        <f t="shared" si="15"/>
        <v/>
      </c>
    </row>
    <row r="981" spans="11:13" ht="14.25" customHeight="1" x14ac:dyDescent="0.35">
      <c r="K981" s="32" t="str">
        <f>IFERROR(VLOOKUP(G981,'Taxonomy Sheet'!$A$3:$C$6,2,FALSE),"")</f>
        <v/>
      </c>
      <c r="L981" s="32" t="str">
        <f>IFERROR(VLOOKUP(F981,'Taxonomy Sheet'!$E$3:$F$5,2,FALSE),"")</f>
        <v/>
      </c>
      <c r="M981" s="32" t="str">
        <f t="shared" si="15"/>
        <v/>
      </c>
    </row>
    <row r="982" spans="11:13" ht="14.25" customHeight="1" x14ac:dyDescent="0.35">
      <c r="K982" s="32" t="str">
        <f>IFERROR(VLOOKUP(G982,'Taxonomy Sheet'!$A$3:$C$6,2,FALSE),"")</f>
        <v/>
      </c>
      <c r="L982" s="32" t="str">
        <f>IFERROR(VLOOKUP(F982,'Taxonomy Sheet'!$E$3:$F$5,2,FALSE),"")</f>
        <v/>
      </c>
      <c r="M982" s="32" t="str">
        <f t="shared" si="15"/>
        <v/>
      </c>
    </row>
    <row r="983" spans="11:13" ht="14.25" customHeight="1" x14ac:dyDescent="0.35">
      <c r="K983" s="32" t="str">
        <f>IFERROR(VLOOKUP(G983,'Taxonomy Sheet'!$A$3:$C$6,2,FALSE),"")</f>
        <v/>
      </c>
      <c r="L983" s="32" t="str">
        <f>IFERROR(VLOOKUP(F983,'Taxonomy Sheet'!$E$3:$F$5,2,FALSE),"")</f>
        <v/>
      </c>
      <c r="M983" s="32" t="str">
        <f t="shared" si="15"/>
        <v/>
      </c>
    </row>
    <row r="984" spans="11:13" ht="14.25" customHeight="1" x14ac:dyDescent="0.35">
      <c r="K984" s="32" t="str">
        <f>IFERROR(VLOOKUP(G984,'Taxonomy Sheet'!$A$3:$C$6,2,FALSE),"")</f>
        <v/>
      </c>
      <c r="L984" s="32" t="str">
        <f>IFERROR(VLOOKUP(F984,'Taxonomy Sheet'!$E$3:$F$5,2,FALSE),"")</f>
        <v/>
      </c>
      <c r="M984" s="32" t="str">
        <f t="shared" si="15"/>
        <v/>
      </c>
    </row>
    <row r="985" spans="11:13" ht="14.25" customHeight="1" x14ac:dyDescent="0.35">
      <c r="K985" s="32" t="str">
        <f>IFERROR(VLOOKUP(G985,'Taxonomy Sheet'!$A$3:$C$6,2,FALSE),"")</f>
        <v/>
      </c>
      <c r="L985" s="32" t="str">
        <f>IFERROR(VLOOKUP(F985,'Taxonomy Sheet'!$E$3:$F$5,2,FALSE),"")</f>
        <v/>
      </c>
      <c r="M985" s="32" t="str">
        <f t="shared" si="15"/>
        <v/>
      </c>
    </row>
    <row r="986" spans="11:13" ht="14.25" customHeight="1" x14ac:dyDescent="0.35">
      <c r="K986" s="32" t="str">
        <f>IFERROR(VLOOKUP(G986,'Taxonomy Sheet'!$A$3:$C$6,2,FALSE),"")</f>
        <v/>
      </c>
      <c r="L986" s="32" t="str">
        <f>IFERROR(VLOOKUP(F986,'Taxonomy Sheet'!$E$3:$F$5,2,FALSE),"")</f>
        <v/>
      </c>
      <c r="M986" s="32" t="str">
        <f t="shared" si="15"/>
        <v/>
      </c>
    </row>
    <row r="987" spans="11:13" ht="14.25" customHeight="1" x14ac:dyDescent="0.35">
      <c r="K987" s="32" t="str">
        <f>IFERROR(VLOOKUP(G987,'Taxonomy Sheet'!$A$3:$C$6,2,FALSE),"")</f>
        <v/>
      </c>
      <c r="L987" s="32" t="str">
        <f>IFERROR(VLOOKUP(F987,'Taxonomy Sheet'!$E$3:$F$5,2,FALSE),"")</f>
        <v/>
      </c>
      <c r="M987" s="32" t="str">
        <f t="shared" si="15"/>
        <v/>
      </c>
    </row>
    <row r="988" spans="11:13" ht="14.25" customHeight="1" x14ac:dyDescent="0.35">
      <c r="K988" s="32" t="str">
        <f>IFERROR(VLOOKUP(G988,'Taxonomy Sheet'!$A$3:$C$6,2,FALSE),"")</f>
        <v/>
      </c>
      <c r="L988" s="32" t="str">
        <f>IFERROR(VLOOKUP(F988,'Taxonomy Sheet'!$E$3:$F$5,2,FALSE),"")</f>
        <v/>
      </c>
      <c r="M988" s="32" t="str">
        <f t="shared" si="15"/>
        <v/>
      </c>
    </row>
    <row r="989" spans="11:13" ht="14.25" customHeight="1" x14ac:dyDescent="0.35">
      <c r="K989" s="32" t="str">
        <f>IFERROR(VLOOKUP(G989,'Taxonomy Sheet'!$A$3:$C$6,2,FALSE),"")</f>
        <v/>
      </c>
      <c r="L989" s="32" t="str">
        <f>IFERROR(VLOOKUP(F989,'Taxonomy Sheet'!$E$3:$F$5,2,FALSE),"")</f>
        <v/>
      </c>
      <c r="M989" s="32" t="str">
        <f t="shared" si="15"/>
        <v/>
      </c>
    </row>
    <row r="990" spans="11:13" ht="14.25" customHeight="1" x14ac:dyDescent="0.35">
      <c r="K990" s="32" t="str">
        <f>IFERROR(VLOOKUP(G990,'Taxonomy Sheet'!$A$3:$C$6,2,FALSE),"")</f>
        <v/>
      </c>
      <c r="L990" s="32" t="str">
        <f>IFERROR(VLOOKUP(F990,'Taxonomy Sheet'!$E$3:$F$5,2,FALSE),"")</f>
        <v/>
      </c>
      <c r="M990" s="32" t="str">
        <f t="shared" si="15"/>
        <v/>
      </c>
    </row>
    <row r="991" spans="11:13" ht="14.25" customHeight="1" x14ac:dyDescent="0.35">
      <c r="K991" s="32" t="str">
        <f>IFERROR(VLOOKUP(G991,'Taxonomy Sheet'!$A$3:$C$6,2,FALSE),"")</f>
        <v/>
      </c>
      <c r="L991" s="32" t="str">
        <f>IFERROR(VLOOKUP(F991,'Taxonomy Sheet'!$E$3:$F$5,2,FALSE),"")</f>
        <v/>
      </c>
      <c r="M991" s="32" t="str">
        <f t="shared" si="15"/>
        <v/>
      </c>
    </row>
    <row r="992" spans="11:13" ht="14.25" customHeight="1" x14ac:dyDescent="0.35">
      <c r="K992" s="32" t="str">
        <f>IFERROR(VLOOKUP(G992,'Taxonomy Sheet'!$A$3:$C$6,2,FALSE),"")</f>
        <v/>
      </c>
      <c r="L992" s="32" t="str">
        <f>IFERROR(VLOOKUP(F992,'Taxonomy Sheet'!$E$3:$F$5,2,FALSE),"")</f>
        <v/>
      </c>
      <c r="M992" s="32" t="str">
        <f t="shared" si="15"/>
        <v/>
      </c>
    </row>
    <row r="993" spans="11:13" ht="14.25" customHeight="1" x14ac:dyDescent="0.35">
      <c r="K993" s="32" t="str">
        <f>IFERROR(VLOOKUP(G993,'Taxonomy Sheet'!$A$3:$C$6,2,FALSE),"")</f>
        <v/>
      </c>
      <c r="L993" s="32" t="str">
        <f>IFERROR(VLOOKUP(F993,'Taxonomy Sheet'!$E$3:$F$5,2,FALSE),"")</f>
        <v/>
      </c>
      <c r="M993" s="32" t="str">
        <f t="shared" si="15"/>
        <v/>
      </c>
    </row>
    <row r="994" spans="11:13" ht="14.25" customHeight="1" x14ac:dyDescent="0.35">
      <c r="K994" s="32" t="str">
        <f>IFERROR(VLOOKUP(G994,'Taxonomy Sheet'!$A$3:$C$6,2,FALSE),"")</f>
        <v/>
      </c>
      <c r="L994" s="32" t="str">
        <f>IFERROR(VLOOKUP(F994,'Taxonomy Sheet'!$E$3:$F$5,2,FALSE),"")</f>
        <v/>
      </c>
      <c r="M994" s="32" t="str">
        <f t="shared" si="15"/>
        <v/>
      </c>
    </row>
    <row r="995" spans="11:13" ht="14.25" customHeight="1" x14ac:dyDescent="0.35">
      <c r="K995" s="32" t="str">
        <f>IFERROR(VLOOKUP(G995,'Taxonomy Sheet'!$A$3:$C$6,2,FALSE),"")</f>
        <v/>
      </c>
      <c r="L995" s="32" t="str">
        <f>IFERROR(VLOOKUP(F995,'Taxonomy Sheet'!$E$3:$F$5,2,FALSE),"")</f>
        <v/>
      </c>
      <c r="M995" s="32" t="str">
        <f t="shared" si="15"/>
        <v/>
      </c>
    </row>
    <row r="996" spans="11:13" ht="14.25" customHeight="1" x14ac:dyDescent="0.35">
      <c r="K996" s="32" t="str">
        <f>IFERROR(VLOOKUP(G996,'Taxonomy Sheet'!$A$3:$C$6,2,FALSE),"")</f>
        <v/>
      </c>
      <c r="L996" s="32" t="str">
        <f>IFERROR(VLOOKUP(F996,'Taxonomy Sheet'!$E$3:$F$5,2,FALSE),"")</f>
        <v/>
      </c>
      <c r="M996" s="32" t="str">
        <f t="shared" si="15"/>
        <v/>
      </c>
    </row>
    <row r="997" spans="11:13" ht="14.25" customHeight="1" x14ac:dyDescent="0.35">
      <c r="K997" s="32" t="str">
        <f>IFERROR(VLOOKUP(G997,'Taxonomy Sheet'!$A$3:$C$6,2,FALSE),"")</f>
        <v/>
      </c>
      <c r="L997" s="32" t="str">
        <f>IFERROR(VLOOKUP(F997,'Taxonomy Sheet'!$E$3:$F$5,2,FALSE),"")</f>
        <v/>
      </c>
      <c r="M997" s="32" t="str">
        <f t="shared" si="15"/>
        <v/>
      </c>
    </row>
    <row r="998" spans="11:13" ht="14.25" customHeight="1" x14ac:dyDescent="0.35">
      <c r="K998" s="32" t="str">
        <f>IFERROR(VLOOKUP(G998,'Taxonomy Sheet'!$A$3:$C$6,2,FALSE),"")</f>
        <v/>
      </c>
      <c r="L998" s="32" t="str">
        <f>IFERROR(VLOOKUP(F998,'Taxonomy Sheet'!$E$3:$F$5,2,FALSE),"")</f>
        <v/>
      </c>
      <c r="M998" s="32" t="str">
        <f t="shared" si="15"/>
        <v/>
      </c>
    </row>
    <row r="999" spans="11:13" ht="14.25" customHeight="1" x14ac:dyDescent="0.35">
      <c r="K999" s="32" t="str">
        <f>IFERROR(VLOOKUP(G999,'Taxonomy Sheet'!$A$3:$C$6,2,FALSE),"")</f>
        <v/>
      </c>
      <c r="L999" s="32" t="str">
        <f>IFERROR(VLOOKUP(F999,'Taxonomy Sheet'!$E$3:$F$5,2,FALSE),"")</f>
        <v/>
      </c>
      <c r="M999" s="32" t="str">
        <f t="shared" si="15"/>
        <v/>
      </c>
    </row>
    <row r="1000" spans="11:13" ht="14.25" customHeight="1" x14ac:dyDescent="0.35">
      <c r="K1000" s="32" t="str">
        <f>IFERROR(VLOOKUP(G1000,'Taxonomy Sheet'!$A$3:$C$6,2,FALSE),"")</f>
        <v/>
      </c>
      <c r="L1000" s="32" t="str">
        <f>IFERROR(VLOOKUP(F1000,'Taxonomy Sheet'!$E$3:$F$5,2,FALSE),"")</f>
        <v/>
      </c>
      <c r="M1000" s="32" t="str">
        <f t="shared" si="15"/>
        <v/>
      </c>
    </row>
    <row r="1001" spans="11:13" ht="14.25" customHeight="1" x14ac:dyDescent="0.35">
      <c r="K1001" s="32" t="str">
        <f>IFERROR(VLOOKUP(G1001,'Taxonomy Sheet'!$A$3:$C$6,2,FALSE),"")</f>
        <v/>
      </c>
      <c r="L1001" s="32" t="str">
        <f>IFERROR(VLOOKUP(F1001,'Taxonomy Sheet'!$E$3:$F$5,2,FALSE),"")</f>
        <v/>
      </c>
      <c r="M1001" s="32" t="str">
        <f t="shared" si="15"/>
        <v/>
      </c>
    </row>
    <row r="1002" spans="11:13" ht="14.25" customHeight="1" x14ac:dyDescent="0.35">
      <c r="K1002" s="32" t="str">
        <f>IFERROR(VLOOKUP(G1002,'Taxonomy Sheet'!$A$3:$C$6,2,FALSE),"")</f>
        <v/>
      </c>
      <c r="L1002" s="32" t="str">
        <f>IFERROR(VLOOKUP(F1002,'Taxonomy Sheet'!$E$3:$F$5,2,FALSE),"")</f>
        <v/>
      </c>
      <c r="M1002" s="32" t="str">
        <f t="shared" si="15"/>
        <v/>
      </c>
    </row>
    <row r="1003" spans="11:13" ht="14.25" customHeight="1" x14ac:dyDescent="0.35">
      <c r="K1003" s="32" t="str">
        <f>IFERROR(VLOOKUP(G1003,'Taxonomy Sheet'!$A$3:$C$6,2,FALSE),"")</f>
        <v/>
      </c>
      <c r="L1003" s="32" t="str">
        <f>IFERROR(VLOOKUP(F1003,'Taxonomy Sheet'!$E$3:$F$5,2,FALSE),"")</f>
        <v/>
      </c>
      <c r="M1003" s="32" t="str">
        <f t="shared" si="15"/>
        <v/>
      </c>
    </row>
    <row r="1004" spans="11:13" ht="14.25" customHeight="1" x14ac:dyDescent="0.35">
      <c r="K1004" s="32" t="str">
        <f>IFERROR(VLOOKUP(G1004,'Taxonomy Sheet'!$A$3:$C$6,2,FALSE),"")</f>
        <v/>
      </c>
      <c r="L1004" s="32" t="str">
        <f>IFERROR(VLOOKUP(F1004,'Taxonomy Sheet'!$E$3:$F$5,2,FALSE),"")</f>
        <v/>
      </c>
      <c r="M1004" s="32" t="str">
        <f t="shared" si="15"/>
        <v/>
      </c>
    </row>
    <row r="1005" spans="11:13" ht="14.25" customHeight="1" x14ac:dyDescent="0.35">
      <c r="K1005" s="32" t="str">
        <f>IFERROR(VLOOKUP(G1005,'Taxonomy Sheet'!$A$3:$C$6,2,FALSE),"")</f>
        <v/>
      </c>
      <c r="L1005" s="32" t="str">
        <f>IFERROR(VLOOKUP(F1005,'Taxonomy Sheet'!$E$3:$F$5,2,FALSE),"")</f>
        <v/>
      </c>
      <c r="M1005" s="32" t="str">
        <f t="shared" si="15"/>
        <v/>
      </c>
    </row>
    <row r="1006" spans="11:13" ht="14.25" customHeight="1" x14ac:dyDescent="0.35">
      <c r="K1006" s="32" t="str">
        <f>IFERROR(VLOOKUP(G1006,'Taxonomy Sheet'!$A$3:$C$6,2,FALSE),"")</f>
        <v/>
      </c>
      <c r="L1006" s="32" t="str">
        <f>IFERROR(VLOOKUP(F1006,'Taxonomy Sheet'!$E$3:$F$5,2,FALSE),"")</f>
        <v/>
      </c>
      <c r="M1006" s="32" t="str">
        <f t="shared" si="15"/>
        <v/>
      </c>
    </row>
    <row r="1007" spans="11:13" ht="14.25" customHeight="1" x14ac:dyDescent="0.35">
      <c r="K1007" s="32" t="str">
        <f>IFERROR(VLOOKUP(G1007,'Taxonomy Sheet'!$A$3:$C$6,2,FALSE),"")</f>
        <v/>
      </c>
      <c r="L1007" s="32" t="str">
        <f>IFERROR(VLOOKUP(F1007,'Taxonomy Sheet'!$E$3:$F$5,2,FALSE),"")</f>
        <v/>
      </c>
      <c r="M1007" s="32" t="str">
        <f t="shared" si="15"/>
        <v/>
      </c>
    </row>
    <row r="1008" spans="11:13" ht="14.25" customHeight="1" x14ac:dyDescent="0.35">
      <c r="K1008" s="32" t="str">
        <f>IFERROR(VLOOKUP(G1008,'Taxonomy Sheet'!$A$3:$C$6,2,FALSE),"")</f>
        <v/>
      </c>
      <c r="L1008" s="32" t="str">
        <f>IFERROR(VLOOKUP(F1008,'Taxonomy Sheet'!$E$3:$F$5,2,FALSE),"")</f>
        <v/>
      </c>
      <c r="M1008" s="32" t="str">
        <f t="shared" si="15"/>
        <v/>
      </c>
    </row>
    <row r="1009" spans="11:13" ht="14.25" customHeight="1" x14ac:dyDescent="0.35">
      <c r="K1009" s="32" t="str">
        <f>IFERROR(VLOOKUP(G1009,'Taxonomy Sheet'!$A$3:$C$6,2,FALSE),"")</f>
        <v/>
      </c>
      <c r="L1009" s="32" t="str">
        <f>IFERROR(VLOOKUP(F1009,'Taxonomy Sheet'!$E$3:$F$5,2,FALSE),"")</f>
        <v/>
      </c>
      <c r="M1009" s="32" t="str">
        <f t="shared" si="15"/>
        <v/>
      </c>
    </row>
    <row r="1010" spans="11:13" ht="14.25" customHeight="1" x14ac:dyDescent="0.35">
      <c r="K1010" s="32" t="str">
        <f>IFERROR(VLOOKUP(G1010,'Taxonomy Sheet'!$A$3:$C$6,2,FALSE),"")</f>
        <v/>
      </c>
      <c r="L1010" s="32" t="str">
        <f>IFERROR(VLOOKUP(F1010,'Taxonomy Sheet'!$E$3:$F$5,2,FALSE),"")</f>
        <v/>
      </c>
      <c r="M1010" s="32" t="str">
        <f t="shared" si="15"/>
        <v/>
      </c>
    </row>
    <row r="1011" spans="11:13" ht="14.5" x14ac:dyDescent="0.35">
      <c r="K1011" s="32" t="str">
        <f>IFERROR(VLOOKUP(G1011,'Taxonomy Sheet'!$A$3:$C$6,2,FALSE),"")</f>
        <v/>
      </c>
      <c r="L1011" s="32" t="str">
        <f>IFERROR(VLOOKUP(F1011,'Taxonomy Sheet'!$E$3:$F$5,2,FALSE),"")</f>
        <v/>
      </c>
      <c r="M1011" s="32" t="str">
        <f t="shared" si="15"/>
        <v/>
      </c>
    </row>
  </sheetData>
  <sheetProtection algorithmName="SHA-512" hashValue="Hf3RT8RXPuQxy4WanDnrUazHbCNayB63kZsK/iyOBeXHy/V+xQBtFDkIjq+i0S3kNmVtJtGKZ13H4aObQ7j6xw==" saltValue="kYLlFG2Oamn2ZirmCoH6+w==" spinCount="100000" sheet="1" objects="1" scenarios="1"/>
  <autoFilter ref="A12:F220" xr:uid="{00000000-0009-0000-0000-000000000000}"/>
  <mergeCells count="3">
    <mergeCell ref="A10:F11"/>
    <mergeCell ref="G10:J11"/>
    <mergeCell ref="K10:M11"/>
  </mergeCells>
  <pageMargins left="0.75" right="0.75" top="1" bottom="1" header="0" footer="0"/>
  <pageSetup orientation="portrait" r:id="rId1"/>
  <extLst>
    <ext xmlns:x14="http://schemas.microsoft.com/office/spreadsheetml/2009/9/main" uri="{CCE6A557-97BC-4b89-ADB6-D9C93CAAB3DF}">
      <x14:dataValidations xmlns:xm="http://schemas.microsoft.com/office/excel/2006/main" count="3">
        <x14:dataValidation type="list" allowBlank="1" showErrorMessage="1" errorTitle="Invalid selection" error="Please select a value from the dropdown list." promptTitle="Level of compliance" prompt="Select one of the approved options." xr:uid="{00000000-0002-0000-0000-000000000000}">
          <x14:formula1>
            <xm:f>'Taxonomy Sheet'!$A$3:$A$6</xm:f>
          </x14:formula1>
          <xm:sqref>G13:G1011</xm:sqref>
        </x14:dataValidation>
        <x14:dataValidation type="list" allowBlank="1" showErrorMessage="1" errorTitle="Invalid selection" error="Please select a value from the dropdown list." promptTitle="Online/Offline" prompt="Select one of the approved options." xr:uid="{00000000-0002-0000-0000-000001000000}">
          <x14:formula1>
            <xm:f>'Taxonomy Sheet'!$H$3:$H$5</xm:f>
          </x14:formula1>
          <xm:sqref>H13:H1011</xm:sqref>
        </x14:dataValidation>
        <x14:dataValidation type="list" allowBlank="1" showErrorMessage="1" errorTitle="Invalid selection" error="Please select a value from the dropdown list." promptTitle="Dependent on other systems" prompt="Select one of the approved options." xr:uid="{00000000-0002-0000-0000-000002000000}">
          <x14:formula1>
            <xm:f>'Taxonomy Sheet'!$J$3:$J$4</xm:f>
          </x14:formula1>
          <xm:sqref>I13:I1011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35" customWidth="1"/>
    <col min="2" max="2" width="120" customWidth="1"/>
    <col min="3" max="26" width="8.7265625" customWidth="1"/>
  </cols>
  <sheetData>
    <row r="1" spans="1:2" ht="14.25" customHeight="1" x14ac:dyDescent="0.35">
      <c r="A1" s="1" t="s">
        <v>676</v>
      </c>
      <c r="B1" s="1" t="s">
        <v>677</v>
      </c>
    </row>
    <row r="2" spans="1:2" ht="14.25" customHeight="1" x14ac:dyDescent="0.35">
      <c r="A2" s="2" t="s">
        <v>678</v>
      </c>
      <c r="B2" s="2">
        <v>207</v>
      </c>
    </row>
    <row r="3" spans="1:2" ht="14.25" customHeight="1" x14ac:dyDescent="0.35">
      <c r="A3" s="2" t="s">
        <v>679</v>
      </c>
      <c r="B3" s="2">
        <v>129</v>
      </c>
    </row>
    <row r="4" spans="1:2" ht="14.25" customHeight="1" x14ac:dyDescent="0.35">
      <c r="A4" s="2" t="s">
        <v>680</v>
      </c>
      <c r="B4" s="2">
        <v>78</v>
      </c>
    </row>
    <row r="5" spans="1:2" ht="14.25" customHeight="1" x14ac:dyDescent="0.35">
      <c r="A5" s="2"/>
      <c r="B5" s="2"/>
    </row>
    <row r="6" spans="1:2" ht="14.25" customHeight="1" x14ac:dyDescent="0.35">
      <c r="A6" s="2"/>
      <c r="B6" s="2"/>
    </row>
    <row r="7" spans="1:2" ht="14.25" customHeight="1" x14ac:dyDescent="0.35">
      <c r="A7" s="2"/>
      <c r="B7" s="2"/>
    </row>
    <row r="8" spans="1:2" ht="14.25" customHeight="1" x14ac:dyDescent="0.35"/>
    <row r="9" spans="1:2" ht="14.25" customHeight="1" x14ac:dyDescent="0.35"/>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autoFilter ref="A1:B7" xr:uid="{00000000-0009-0000-0000-000001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
  <sheetViews>
    <sheetView workbookViewId="0">
      <pane ySplit="2" topLeftCell="A3" activePane="bottomLeft" state="frozen"/>
      <selection pane="bottomLeft" activeCell="C14" sqref="B14:C14"/>
    </sheetView>
  </sheetViews>
  <sheetFormatPr defaultRowHeight="14.5" x14ac:dyDescent="0.35"/>
  <cols>
    <col min="1" max="1" width="32" customWidth="1"/>
    <col min="2" max="2" width="52.90625" customWidth="1"/>
    <col min="3" max="3" width="10" customWidth="1"/>
    <col min="4" max="4" width="4" customWidth="1"/>
    <col min="5" max="5" width="18" customWidth="1"/>
    <col min="6" max="6" width="10" customWidth="1"/>
    <col min="7" max="7" width="4" customWidth="1"/>
    <col min="8" max="8" width="18" customWidth="1"/>
    <col min="9" max="9" width="4" customWidth="1"/>
    <col min="10" max="10" width="28" customWidth="1"/>
    <col min="11" max="11" width="4" customWidth="1"/>
  </cols>
  <sheetData>
    <row r="1" spans="1:10" ht="22" customHeight="1" x14ac:dyDescent="0.35">
      <c r="A1" s="45" t="s">
        <v>681</v>
      </c>
      <c r="B1" s="45"/>
      <c r="C1" s="46"/>
      <c r="E1" s="45" t="s">
        <v>682</v>
      </c>
      <c r="F1" s="46"/>
      <c r="H1" s="45" t="s">
        <v>683</v>
      </c>
      <c r="J1" s="45" t="s">
        <v>684</v>
      </c>
    </row>
    <row r="2" spans="1:10" ht="22" customHeight="1" x14ac:dyDescent="0.35">
      <c r="A2" s="10" t="s">
        <v>2</v>
      </c>
      <c r="B2" s="10" t="s">
        <v>4</v>
      </c>
      <c r="C2" s="10" t="s">
        <v>10</v>
      </c>
      <c r="E2" s="10" t="s">
        <v>2</v>
      </c>
      <c r="F2" s="10" t="s">
        <v>10</v>
      </c>
      <c r="H2" s="10" t="s">
        <v>2</v>
      </c>
      <c r="J2" s="10" t="s">
        <v>2</v>
      </c>
    </row>
    <row r="3" spans="1:10" ht="41.5" customHeight="1" x14ac:dyDescent="0.35">
      <c r="A3" s="11" t="s">
        <v>685</v>
      </c>
      <c r="B3" s="51" t="s">
        <v>718</v>
      </c>
      <c r="C3" s="12">
        <v>2</v>
      </c>
      <c r="E3" s="11" t="s">
        <v>18</v>
      </c>
      <c r="F3" s="12">
        <v>2</v>
      </c>
      <c r="H3" s="11" t="s">
        <v>686</v>
      </c>
      <c r="J3" s="11" t="s">
        <v>687</v>
      </c>
    </row>
    <row r="4" spans="1:10" ht="43.5" customHeight="1" x14ac:dyDescent="0.35">
      <c r="A4" s="11" t="s">
        <v>688</v>
      </c>
      <c r="B4" s="51" t="s">
        <v>719</v>
      </c>
      <c r="C4" s="12">
        <v>2</v>
      </c>
      <c r="E4" s="11" t="s">
        <v>119</v>
      </c>
      <c r="F4" s="13">
        <v>1.5</v>
      </c>
      <c r="H4" s="11" t="s">
        <v>689</v>
      </c>
      <c r="J4" s="11" t="s">
        <v>690</v>
      </c>
    </row>
    <row r="5" spans="1:10" ht="34.5" customHeight="1" x14ac:dyDescent="0.35">
      <c r="A5" s="11" t="s">
        <v>691</v>
      </c>
      <c r="B5" s="51" t="s">
        <v>720</v>
      </c>
      <c r="C5" s="12">
        <v>1</v>
      </c>
      <c r="E5" s="11" t="s">
        <v>165</v>
      </c>
      <c r="F5" s="12">
        <v>1</v>
      </c>
      <c r="H5" s="11" t="s">
        <v>692</v>
      </c>
    </row>
    <row r="6" spans="1:10" ht="48.5" customHeight="1" x14ac:dyDescent="0.35">
      <c r="A6" s="11" t="s">
        <v>693</v>
      </c>
      <c r="B6" s="51" t="s">
        <v>721</v>
      </c>
      <c r="C6" s="12">
        <v>0</v>
      </c>
    </row>
    <row r="7" spans="1:10" ht="22" customHeight="1" x14ac:dyDescent="0.35"/>
  </sheetData>
  <mergeCells count="4">
    <mergeCell ref="E1:F1"/>
    <mergeCell ref="H1"/>
    <mergeCell ref="J1"/>
    <mergeCell ref="A1:C1"/>
  </mergeCells>
  <pageMargins left="0.75" right="0.75" top="1" bottom="1" header="0.5" footer="0.5"/>
  <pageSetup orientation="portrait"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1"/>
  <sheetViews>
    <sheetView showGridLines="0" workbookViewId="0">
      <pane ySplit="2" topLeftCell="A3" activePane="bottomLeft" state="frozen"/>
      <selection pane="bottomLeft" sqref="A1:G1"/>
    </sheetView>
  </sheetViews>
  <sheetFormatPr defaultRowHeight="14.5" x14ac:dyDescent="0.35"/>
  <cols>
    <col min="1" max="1" width="34" customWidth="1"/>
    <col min="2" max="2" width="22" customWidth="1"/>
    <col min="3" max="3" width="18" customWidth="1"/>
    <col min="4" max="4" width="29" customWidth="1"/>
    <col min="5" max="5" width="25" customWidth="1"/>
    <col min="6" max="7" width="15" customWidth="1"/>
    <col min="8" max="8" width="12" customWidth="1"/>
    <col min="9" max="9" width="16" customWidth="1"/>
  </cols>
  <sheetData>
    <row r="1" spans="1:9" ht="24" customHeight="1" x14ac:dyDescent="0.35">
      <c r="A1" s="50" t="s">
        <v>694</v>
      </c>
      <c r="B1" s="48"/>
      <c r="C1" s="48"/>
      <c r="D1" s="48"/>
      <c r="E1" s="48"/>
      <c r="F1" s="48"/>
      <c r="G1" s="49"/>
    </row>
    <row r="2" spans="1:9" ht="24" customHeight="1" x14ac:dyDescent="0.35">
      <c r="A2" s="3" t="s">
        <v>695</v>
      </c>
      <c r="B2" s="4" t="s">
        <v>676</v>
      </c>
      <c r="C2" s="4" t="s">
        <v>18</v>
      </c>
      <c r="D2" s="4" t="s">
        <v>119</v>
      </c>
      <c r="E2" s="4" t="s">
        <v>165</v>
      </c>
      <c r="F2" s="4" t="s">
        <v>696</v>
      </c>
      <c r="G2" s="4" t="s">
        <v>697</v>
      </c>
    </row>
    <row r="3" spans="1:9" ht="24" customHeight="1" x14ac:dyDescent="0.35">
      <c r="A3" s="5" t="s">
        <v>698</v>
      </c>
      <c r="B3" s="6" t="s">
        <v>699</v>
      </c>
      <c r="C3" s="7">
        <f>COUNTIFS('Master Requirements Catalogue'!$A$13:$A$220,"&lt;&gt;",'Master Requirements Catalogue'!$F$13:$F$220,"Must")*3*2</f>
        <v>678</v>
      </c>
      <c r="D3" s="7">
        <f>COUNTIFS('Master Requirements Catalogue'!$A$13:$A$220,"&lt;&gt;",'Master Requirements Catalogue'!$F$13:$F$220,"Should")*3*1.5</f>
        <v>364.5</v>
      </c>
      <c r="E3" s="7">
        <f>COUNTIFS('Master Requirements Catalogue'!$A$13:$A$220,"&lt;&gt;",'Master Requirements Catalogue'!$F$13:$F$220,"Could")*3*1</f>
        <v>42</v>
      </c>
      <c r="F3" s="7">
        <f t="shared" ref="F3:F8" si="0">SUM(C3:E3)</f>
        <v>1084.5</v>
      </c>
      <c r="G3" s="8"/>
    </row>
    <row r="4" spans="1:9" ht="24" customHeight="1" x14ac:dyDescent="0.35">
      <c r="A4" s="5" t="s">
        <v>698</v>
      </c>
      <c r="B4" s="6" t="s">
        <v>700</v>
      </c>
      <c r="C4" s="7">
        <f>SUMIFS('Master Requirements Catalogue'!$M$13:$M$220,'Master Requirements Catalogue'!$A$13:$A$220,"&lt;&gt;",'Master Requirements Catalogue'!$F$13:$F$220,"Must")</f>
        <v>0</v>
      </c>
      <c r="D4" s="7">
        <f>SUMIFS('Master Requirements Catalogue'!$M$13:$M$220,'Master Requirements Catalogue'!$A$13:$A$220,"&lt;&gt;",'Master Requirements Catalogue'!$F$13:$F$220,"Should")</f>
        <v>0</v>
      </c>
      <c r="E4" s="7">
        <f>SUMIFS('Master Requirements Catalogue'!$M$13:$M$220,'Master Requirements Catalogue'!$A$13:$A$220,"&lt;&gt;",'Master Requirements Catalogue'!$F$13:$F$220,"Could")</f>
        <v>0</v>
      </c>
      <c r="F4" s="7">
        <f t="shared" si="0"/>
        <v>0</v>
      </c>
      <c r="G4" s="9">
        <f>IFERROR(F4/F3,"")</f>
        <v>0</v>
      </c>
    </row>
    <row r="5" spans="1:9" ht="24" customHeight="1" x14ac:dyDescent="0.35">
      <c r="A5" s="5" t="s">
        <v>14</v>
      </c>
      <c r="B5" s="6" t="s">
        <v>699</v>
      </c>
      <c r="C5" s="7">
        <f>COUNTIFS('Master Requirements Catalogue'!$A$13:$A$220,"&lt;&gt;",'Master Requirements Catalogue'!$B$13:$B$220,"Functional",'Master Requirements Catalogue'!$F$13:$F$220,"Must")*3*2</f>
        <v>432</v>
      </c>
      <c r="D5" s="7">
        <f>COUNTIFS('Master Requirements Catalogue'!$A$13:$A$220,"&lt;&gt;",'Master Requirements Catalogue'!$B$13:$B$220,"Functional",'Master Requirements Catalogue'!$F$13:$F$220,"Should")*3*1.5</f>
        <v>202.5</v>
      </c>
      <c r="E5" s="7">
        <f>COUNTIFS('Master Requirements Catalogue'!$A$13:$A$220,"&lt;&gt;",'Master Requirements Catalogue'!$B$13:$B$220,"Functional",'Master Requirements Catalogue'!$F$13:$F$220,"Could")*3*1</f>
        <v>39</v>
      </c>
      <c r="F5" s="7">
        <f t="shared" si="0"/>
        <v>673.5</v>
      </c>
      <c r="G5" s="8"/>
    </row>
    <row r="6" spans="1:9" ht="24" customHeight="1" x14ac:dyDescent="0.35">
      <c r="A6" s="5" t="s">
        <v>14</v>
      </c>
      <c r="B6" s="6" t="s">
        <v>700</v>
      </c>
      <c r="C6" s="7">
        <f>SUMIFS('Master Requirements Catalogue'!$M$13:$M$220,'Master Requirements Catalogue'!$A$13:$A$220,"&lt;&gt;",'Master Requirements Catalogue'!$B$13:$B$220,"Functional",'Master Requirements Catalogue'!$F$13:$F$220,"Must")</f>
        <v>0</v>
      </c>
      <c r="D6" s="7">
        <f>SUMIFS('Master Requirements Catalogue'!$M$13:$M$220,'Master Requirements Catalogue'!$A$13:$A$220,"&lt;&gt;",'Master Requirements Catalogue'!$B$13:$B$220,"Functional",'Master Requirements Catalogue'!$F$13:$F$220,"Should")</f>
        <v>0</v>
      </c>
      <c r="E6" s="7">
        <f>SUMIFS('Master Requirements Catalogue'!$M$13:$M$220,'Master Requirements Catalogue'!$A$13:$A$220,"&lt;&gt;",'Master Requirements Catalogue'!$B$13:$B$220,"Functional",'Master Requirements Catalogue'!$F$13:$F$220,"Could")</f>
        <v>0</v>
      </c>
      <c r="F6" s="7">
        <f t="shared" si="0"/>
        <v>0</v>
      </c>
      <c r="G6" s="9">
        <f>IFERROR(F6/F5,"")</f>
        <v>0</v>
      </c>
    </row>
    <row r="7" spans="1:9" ht="24" customHeight="1" x14ac:dyDescent="0.35">
      <c r="A7" s="5" t="s">
        <v>424</v>
      </c>
      <c r="B7" s="6" t="s">
        <v>699</v>
      </c>
      <c r="C7" s="7">
        <f>COUNTIFS('Master Requirements Catalogue'!$A$13:$A$220,"&lt;&gt;",'Master Requirements Catalogue'!$B$13:$B$220,"Non-functional",'Master Requirements Catalogue'!$F$13:$F$220,"Must")*3*2</f>
        <v>246</v>
      </c>
      <c r="D7" s="7">
        <f>COUNTIFS('Master Requirements Catalogue'!$A$13:$A$220,"&lt;&gt;",'Master Requirements Catalogue'!$B$13:$B$220,"Non-functional",'Master Requirements Catalogue'!$F$13:$F$220,"Should")*3*1.5</f>
        <v>162</v>
      </c>
      <c r="E7" s="7">
        <f>COUNTIFS('Master Requirements Catalogue'!$A$13:$A$220,"&lt;&gt;",'Master Requirements Catalogue'!$B$13:$B$220,"Non-functional",'Master Requirements Catalogue'!$F$13:$F$220,"Could")*3*1</f>
        <v>3</v>
      </c>
      <c r="F7" s="7">
        <f t="shared" si="0"/>
        <v>411</v>
      </c>
      <c r="G7" s="8"/>
    </row>
    <row r="8" spans="1:9" ht="24" customHeight="1" x14ac:dyDescent="0.35">
      <c r="A8" s="5" t="s">
        <v>424</v>
      </c>
      <c r="B8" s="6" t="s">
        <v>700</v>
      </c>
      <c r="C8" s="7">
        <f>SUMIFS('Master Requirements Catalogue'!$M$13:$M$220,'Master Requirements Catalogue'!$A$13:$A$220,"&lt;&gt;",'Master Requirements Catalogue'!$B$13:$B$220,"Non-functional",'Master Requirements Catalogue'!$F$13:$F$220,"Must")</f>
        <v>0</v>
      </c>
      <c r="D8" s="7">
        <f>SUMIFS('Master Requirements Catalogue'!$M$13:$M$220,'Master Requirements Catalogue'!$A$13:$A$220,"&lt;&gt;",'Master Requirements Catalogue'!$B$13:$B$220,"Non-functional",'Master Requirements Catalogue'!$F$13:$F$220,"Should")</f>
        <v>0</v>
      </c>
      <c r="E8" s="7">
        <f>SUMIFS('Master Requirements Catalogue'!$M$13:$M$220,'Master Requirements Catalogue'!$A$13:$A$220,"&lt;&gt;",'Master Requirements Catalogue'!$B$13:$B$220,"Non-functional",'Master Requirements Catalogue'!$F$13:$F$220,"Could")</f>
        <v>0</v>
      </c>
      <c r="F8" s="7">
        <f t="shared" si="0"/>
        <v>0</v>
      </c>
      <c r="G8" s="9">
        <f>IFERROR(F8/F7,"")</f>
        <v>0</v>
      </c>
    </row>
    <row r="9" spans="1:9" ht="24" customHeight="1" x14ac:dyDescent="0.35"/>
    <row r="10" spans="1:9" ht="24" customHeight="1" x14ac:dyDescent="0.35"/>
    <row r="11" spans="1:9" ht="24" customHeight="1" x14ac:dyDescent="0.35">
      <c r="A11" s="47" t="s">
        <v>701</v>
      </c>
      <c r="B11" s="48"/>
      <c r="C11" s="48"/>
      <c r="D11" s="48"/>
      <c r="E11" s="48"/>
      <c r="F11" s="48"/>
      <c r="G11" s="48"/>
      <c r="H11" s="48"/>
      <c r="I11" s="49"/>
    </row>
    <row r="12" spans="1:9" ht="24" customHeight="1" x14ac:dyDescent="0.35">
      <c r="A12" s="3" t="s">
        <v>695</v>
      </c>
      <c r="B12" s="4" t="s">
        <v>676</v>
      </c>
      <c r="C12" s="4" t="s">
        <v>685</v>
      </c>
      <c r="D12" s="4" t="s">
        <v>688</v>
      </c>
      <c r="E12" s="4" t="s">
        <v>691</v>
      </c>
      <c r="F12" s="4" t="s">
        <v>693</v>
      </c>
      <c r="G12" s="4" t="s">
        <v>702</v>
      </c>
      <c r="H12" s="4" t="s">
        <v>696</v>
      </c>
      <c r="I12" s="4" t="s">
        <v>703</v>
      </c>
    </row>
    <row r="13" spans="1:9" ht="24" customHeight="1" x14ac:dyDescent="0.35">
      <c r="A13" s="5" t="s">
        <v>698</v>
      </c>
      <c r="B13" s="6" t="s">
        <v>704</v>
      </c>
      <c r="C13" s="7">
        <f>COUNTIFS('Master Requirements Catalogue'!$A$13:$A$220,"&lt;&gt;",'Master Requirements Catalogue'!$G$13:$G$220,"Fully Meets")</f>
        <v>0</v>
      </c>
      <c r="D13" s="7">
        <f>COUNTIFS('Master Requirements Catalogue'!$A$13:$A$220,"&lt;&gt;",'Master Requirements Catalogue'!$G$13:$G$220,"Meets through Configuration")</f>
        <v>0</v>
      </c>
      <c r="E13" s="7">
        <f>COUNTIFS('Master Requirements Catalogue'!$A$13:$A$220,"&lt;&gt;",'Master Requirements Catalogue'!$G$13:$G$220,"Customization Required")</f>
        <v>0</v>
      </c>
      <c r="F13" s="7">
        <f>COUNTIFS('Master Requirements Catalogue'!$A$13:$A$220,"&lt;&gt;",'Master Requirements Catalogue'!$G$13:$G$220,"Not Available")</f>
        <v>0</v>
      </c>
      <c r="G13" s="9">
        <f>COUNTIFS('Master Requirements Catalogue'!$A$13:$A$220,"&lt;&gt;",'Master Requirements Catalogue'!$G$13:$G$220,"")</f>
        <v>208</v>
      </c>
      <c r="H13" s="7">
        <f t="shared" ref="H13:H18" si="1">SUM(C13:G13)</f>
        <v>208</v>
      </c>
      <c r="I13" s="9">
        <f>IFERROR(1-(G13/H13),"")</f>
        <v>0</v>
      </c>
    </row>
    <row r="14" spans="1:9" ht="24" customHeight="1" x14ac:dyDescent="0.35">
      <c r="A14" s="5" t="s">
        <v>698</v>
      </c>
      <c r="B14" s="6" t="s">
        <v>705</v>
      </c>
      <c r="C14" s="9">
        <f>IFERROR(C13/$H13,"")</f>
        <v>0</v>
      </c>
      <c r="D14" s="9">
        <f>IFERROR(D13/$H13,"")</f>
        <v>0</v>
      </c>
      <c r="E14" s="9">
        <f>IFERROR(E13/$H13,"")</f>
        <v>0</v>
      </c>
      <c r="F14" s="9">
        <f>IFERROR(F13/$H13,"")</f>
        <v>0</v>
      </c>
      <c r="G14" s="9">
        <f>IFERROR(G13/$H13,"")</f>
        <v>1</v>
      </c>
      <c r="H14" s="9">
        <f t="shared" si="1"/>
        <v>1</v>
      </c>
      <c r="I14" s="9">
        <f>I13</f>
        <v>0</v>
      </c>
    </row>
    <row r="15" spans="1:9" ht="24" customHeight="1" x14ac:dyDescent="0.35">
      <c r="A15" s="5" t="s">
        <v>14</v>
      </c>
      <c r="B15" s="6" t="s">
        <v>704</v>
      </c>
      <c r="C15" s="7">
        <f>COUNTIFS('Master Requirements Catalogue'!$A$13:$A$220,"&lt;&gt;",'Master Requirements Catalogue'!$B$13:$B$220,"Functional",'Master Requirements Catalogue'!$G$13:$G$220,"Fully Meets")</f>
        <v>0</v>
      </c>
      <c r="D15" s="7">
        <f>COUNTIFS('Master Requirements Catalogue'!$A$13:$A$220,"&lt;&gt;",'Master Requirements Catalogue'!$B$13:$B$220,"Functional",'Master Requirements Catalogue'!$G$13:$G$220,"Meets through Configuration")</f>
        <v>0</v>
      </c>
      <c r="E15" s="7">
        <f>COUNTIFS('Master Requirements Catalogue'!$A$13:$A$220,"&lt;&gt;",'Master Requirements Catalogue'!$B$13:$B$220,"Functional",'Master Requirements Catalogue'!$G$13:$G$220,"Customization Required")</f>
        <v>0</v>
      </c>
      <c r="F15" s="7">
        <f>COUNTIFS('Master Requirements Catalogue'!$A$13:$A$220,"&lt;&gt;",'Master Requirements Catalogue'!$B$13:$B$220,"Functional",'Master Requirements Catalogue'!$G$13:$G$220,"Not Available")</f>
        <v>0</v>
      </c>
      <c r="G15" s="9">
        <f>COUNTIFS('Master Requirements Catalogue'!$A$13:$A$220,"&lt;&gt;",'Master Requirements Catalogue'!$B$13:$B$220,"Functional",'Master Requirements Catalogue'!$G$13:$G$220,"")</f>
        <v>130</v>
      </c>
      <c r="H15" s="7">
        <f t="shared" si="1"/>
        <v>130</v>
      </c>
      <c r="I15" s="9">
        <f>IFERROR(1-(G15/H15),"")</f>
        <v>0</v>
      </c>
    </row>
    <row r="16" spans="1:9" ht="24" customHeight="1" x14ac:dyDescent="0.35">
      <c r="A16" s="5" t="s">
        <v>14</v>
      </c>
      <c r="B16" s="6" t="s">
        <v>705</v>
      </c>
      <c r="C16" s="9">
        <f>IFERROR(C15/$H15,"")</f>
        <v>0</v>
      </c>
      <c r="D16" s="9">
        <f>IFERROR(D15/$H15,"")</f>
        <v>0</v>
      </c>
      <c r="E16" s="9">
        <f>IFERROR(E15/$H15,"")</f>
        <v>0</v>
      </c>
      <c r="F16" s="9">
        <f>IFERROR(F15/$H15,"")</f>
        <v>0</v>
      </c>
      <c r="G16" s="9">
        <f>IFERROR(G15/$H15,"")</f>
        <v>1</v>
      </c>
      <c r="H16" s="9">
        <f t="shared" si="1"/>
        <v>1</v>
      </c>
      <c r="I16" s="9">
        <f>I15</f>
        <v>0</v>
      </c>
    </row>
    <row r="17" spans="1:9" ht="24" customHeight="1" x14ac:dyDescent="0.35">
      <c r="A17" s="5" t="s">
        <v>424</v>
      </c>
      <c r="B17" s="6" t="s">
        <v>704</v>
      </c>
      <c r="C17" s="7">
        <f>COUNTIFS('Master Requirements Catalogue'!$A$13:$A$220,"&lt;&gt;",'Master Requirements Catalogue'!$B$13:$B$220,"Non-functional",'Master Requirements Catalogue'!$G$13:$G$220,"Fully Meets")</f>
        <v>0</v>
      </c>
      <c r="D17" s="7">
        <f>COUNTIFS('Master Requirements Catalogue'!$A$13:$A$220,"&lt;&gt;",'Master Requirements Catalogue'!$B$13:$B$220,"Non-functional",'Master Requirements Catalogue'!$G$13:$G$220,"Meets through Configuration")</f>
        <v>0</v>
      </c>
      <c r="E17" s="7">
        <f>COUNTIFS('Master Requirements Catalogue'!$A$13:$A$220,"&lt;&gt;",'Master Requirements Catalogue'!$B$13:$B$220,"Non-functional",'Master Requirements Catalogue'!$G$13:$G$220,"Customization Required")</f>
        <v>0</v>
      </c>
      <c r="F17" s="7">
        <f>COUNTIFS('Master Requirements Catalogue'!$A$13:$A$220,"&lt;&gt;",'Master Requirements Catalogue'!$B$13:$B$220,"Non-functional",'Master Requirements Catalogue'!$G$13:$G$220,"Not Available")</f>
        <v>0</v>
      </c>
      <c r="G17" s="9">
        <f>COUNTIFS('Master Requirements Catalogue'!$A$13:$A$220,"&lt;&gt;",'Master Requirements Catalogue'!$B$13:$B$220,"Non-functional",'Master Requirements Catalogue'!$G$13:$G$220,"")</f>
        <v>78</v>
      </c>
      <c r="H17" s="7">
        <f t="shared" si="1"/>
        <v>78</v>
      </c>
      <c r="I17" s="9">
        <f>IFERROR(1-(G17/H17),"")</f>
        <v>0</v>
      </c>
    </row>
    <row r="18" spans="1:9" ht="24" customHeight="1" x14ac:dyDescent="0.35">
      <c r="A18" s="5" t="s">
        <v>424</v>
      </c>
      <c r="B18" s="6" t="s">
        <v>705</v>
      </c>
      <c r="C18" s="9">
        <f>IFERROR(C17/$H17,"")</f>
        <v>0</v>
      </c>
      <c r="D18" s="9">
        <f>IFERROR(D17/$H17,"")</f>
        <v>0</v>
      </c>
      <c r="E18" s="9">
        <f>IFERROR(E17/$H17,"")</f>
        <v>0</v>
      </c>
      <c r="F18" s="9">
        <f>IFERROR(F17/$H17,"")</f>
        <v>0</v>
      </c>
      <c r="G18" s="9">
        <f>IFERROR(G17/$H17,"")</f>
        <v>1</v>
      </c>
      <c r="H18" s="9">
        <f t="shared" si="1"/>
        <v>1</v>
      </c>
      <c r="I18" s="9">
        <f>I17</f>
        <v>0</v>
      </c>
    </row>
    <row r="19" spans="1:9" ht="24" customHeight="1" x14ac:dyDescent="0.35"/>
    <row r="20" spans="1:9" ht="24" customHeight="1" x14ac:dyDescent="0.35"/>
    <row r="21" spans="1:9" ht="24" customHeight="1" x14ac:dyDescent="0.35">
      <c r="A21" s="47" t="s">
        <v>706</v>
      </c>
      <c r="B21" s="48"/>
      <c r="C21" s="48"/>
      <c r="D21" s="48"/>
      <c r="E21" s="48"/>
      <c r="F21" s="48"/>
      <c r="G21" s="48"/>
      <c r="H21" s="48"/>
      <c r="I21" s="49"/>
    </row>
    <row r="22" spans="1:9" ht="24" customHeight="1" x14ac:dyDescent="0.35">
      <c r="A22" s="3" t="s">
        <v>7</v>
      </c>
      <c r="B22" s="4" t="s">
        <v>676</v>
      </c>
      <c r="C22" s="4" t="s">
        <v>685</v>
      </c>
      <c r="D22" s="4" t="s">
        <v>688</v>
      </c>
      <c r="E22" s="4" t="s">
        <v>691</v>
      </c>
      <c r="F22" s="4" t="s">
        <v>693</v>
      </c>
      <c r="G22" s="4" t="s">
        <v>702</v>
      </c>
      <c r="H22" s="4" t="s">
        <v>696</v>
      </c>
      <c r="I22" s="4" t="s">
        <v>703</v>
      </c>
    </row>
    <row r="23" spans="1:9" ht="24" customHeight="1" x14ac:dyDescent="0.35">
      <c r="A23" s="5" t="s">
        <v>686</v>
      </c>
      <c r="B23" s="6" t="s">
        <v>704</v>
      </c>
      <c r="C23" s="7">
        <f>COUNTIFS('Master Requirements Catalogue'!$A$13:$A$220,"&lt;&gt;",'Master Requirements Catalogue'!$H$13:$H$220,"Online",'Master Requirements Catalogue'!$G$13:$G$220,"Fully Meets")</f>
        <v>0</v>
      </c>
      <c r="D23" s="7">
        <f>COUNTIFS('Master Requirements Catalogue'!$A$13:$A$220,"&lt;&gt;",'Master Requirements Catalogue'!$H$13:$H$220,"Online",'Master Requirements Catalogue'!$G$13:$G$220,"Meets through Configuration")</f>
        <v>0</v>
      </c>
      <c r="E23" s="7">
        <f>COUNTIFS('Master Requirements Catalogue'!$A$13:$A$220,"&lt;&gt;",'Master Requirements Catalogue'!$H$13:$H$220,"Online",'Master Requirements Catalogue'!$G$13:$G$220,"Customization Required")</f>
        <v>0</v>
      </c>
      <c r="F23" s="7">
        <f>COUNTIFS('Master Requirements Catalogue'!$A$13:$A$220,"&lt;&gt;",'Master Requirements Catalogue'!$H$13:$H$220,"Online",'Master Requirements Catalogue'!$G$13:$G$220,"Not Available")</f>
        <v>0</v>
      </c>
      <c r="G23" s="9">
        <f>COUNTIFS('Master Requirements Catalogue'!$A$13:$A$220,"&lt;&gt;",'Master Requirements Catalogue'!$H$13:$H$220,"Online",'Master Requirements Catalogue'!$G$13:$G$220,"")</f>
        <v>0</v>
      </c>
      <c r="H23" s="7">
        <f t="shared" ref="H23:H30" si="2">SUM(C23:G23)</f>
        <v>0</v>
      </c>
      <c r="I23" s="9" t="str">
        <f>IFERROR(1-(G23/H23),"")</f>
        <v/>
      </c>
    </row>
    <row r="24" spans="1:9" ht="24" customHeight="1" x14ac:dyDescent="0.35">
      <c r="A24" s="5" t="s">
        <v>686</v>
      </c>
      <c r="B24" s="6" t="s">
        <v>705</v>
      </c>
      <c r="C24" s="9" t="str">
        <f>IFERROR(C23/$H23,"")</f>
        <v/>
      </c>
      <c r="D24" s="9" t="str">
        <f>IFERROR(D23/$H23,"")</f>
        <v/>
      </c>
      <c r="E24" s="9" t="str">
        <f>IFERROR(E23/$H23,"")</f>
        <v/>
      </c>
      <c r="F24" s="9" t="str">
        <f>IFERROR(F23/$H23,"")</f>
        <v/>
      </c>
      <c r="G24" s="9" t="str">
        <f>IFERROR(G23/$H23,"")</f>
        <v/>
      </c>
      <c r="H24" s="9">
        <f t="shared" si="2"/>
        <v>0</v>
      </c>
      <c r="I24" s="9" t="str">
        <f>I23</f>
        <v/>
      </c>
    </row>
    <row r="25" spans="1:9" ht="24" customHeight="1" x14ac:dyDescent="0.35">
      <c r="A25" s="5" t="s">
        <v>689</v>
      </c>
      <c r="B25" s="6" t="s">
        <v>704</v>
      </c>
      <c r="C25" s="7">
        <f>COUNTIFS('Master Requirements Catalogue'!$A$13:$A$220,"&lt;&gt;",'Master Requirements Catalogue'!$H$13:$H$220,"Offline",'Master Requirements Catalogue'!$G$13:$G$220,"Fully Meets")</f>
        <v>0</v>
      </c>
      <c r="D25" s="7">
        <f>COUNTIFS('Master Requirements Catalogue'!$A$13:$A$220,"&lt;&gt;",'Master Requirements Catalogue'!$H$13:$H$220,"Offline",'Master Requirements Catalogue'!$G$13:$G$220,"Meets through Configuration")</f>
        <v>0</v>
      </c>
      <c r="E25" s="7">
        <f>COUNTIFS('Master Requirements Catalogue'!$A$13:$A$220,"&lt;&gt;",'Master Requirements Catalogue'!$H$13:$H$220,"Offline",'Master Requirements Catalogue'!$G$13:$G$220,"Customization Required")</f>
        <v>0</v>
      </c>
      <c r="F25" s="7">
        <f>COUNTIFS('Master Requirements Catalogue'!$A$13:$A$220,"&lt;&gt;",'Master Requirements Catalogue'!$H$13:$H$220,"Offline",'Master Requirements Catalogue'!$G$13:$G$220,"Not Available")</f>
        <v>0</v>
      </c>
      <c r="G25" s="9">
        <f>COUNTIFS('Master Requirements Catalogue'!$A$13:$A$220,"&lt;&gt;",'Master Requirements Catalogue'!$H$13:$H$220,"Offline",'Master Requirements Catalogue'!$G$13:$G$220,"")</f>
        <v>0</v>
      </c>
      <c r="H25" s="7">
        <f t="shared" si="2"/>
        <v>0</v>
      </c>
      <c r="I25" s="9" t="str">
        <f>IFERROR(1-(G25/H25),"")</f>
        <v/>
      </c>
    </row>
    <row r="26" spans="1:9" ht="24" customHeight="1" x14ac:dyDescent="0.35">
      <c r="A26" s="5" t="s">
        <v>689</v>
      </c>
      <c r="B26" s="6" t="s">
        <v>705</v>
      </c>
      <c r="C26" s="9" t="str">
        <f>IFERROR(C25/$H25,"")</f>
        <v/>
      </c>
      <c r="D26" s="9" t="str">
        <f>IFERROR(D25/$H25,"")</f>
        <v/>
      </c>
      <c r="E26" s="9" t="str">
        <f>IFERROR(E25/$H25,"")</f>
        <v/>
      </c>
      <c r="F26" s="9" t="str">
        <f>IFERROR(F25/$H25,"")</f>
        <v/>
      </c>
      <c r="G26" s="9" t="str">
        <f>IFERROR(G25/$H25,"")</f>
        <v/>
      </c>
      <c r="H26" s="9">
        <f t="shared" si="2"/>
        <v>0</v>
      </c>
      <c r="I26" s="9" t="str">
        <f>I25</f>
        <v/>
      </c>
    </row>
    <row r="27" spans="1:9" ht="24" customHeight="1" x14ac:dyDescent="0.35">
      <c r="A27" s="5" t="s">
        <v>692</v>
      </c>
      <c r="B27" s="6" t="s">
        <v>704</v>
      </c>
      <c r="C27" s="7">
        <f>COUNTIFS('Master Requirements Catalogue'!$A$13:$A$220,"&lt;&gt;",'Master Requirements Catalogue'!$H$13:$H$220,"Both",'Master Requirements Catalogue'!$G$13:$G$220,"Fully Meets")</f>
        <v>0</v>
      </c>
      <c r="D27" s="7">
        <f>COUNTIFS('Master Requirements Catalogue'!$A$13:$A$220,"&lt;&gt;",'Master Requirements Catalogue'!$H$13:$H$220,"Both",'Master Requirements Catalogue'!$G$13:$G$220,"Meets through Configuration")</f>
        <v>0</v>
      </c>
      <c r="E27" s="7">
        <f>COUNTIFS('Master Requirements Catalogue'!$A$13:$A$220,"&lt;&gt;",'Master Requirements Catalogue'!$H$13:$H$220,"Both",'Master Requirements Catalogue'!$G$13:$G$220,"Customization Required")</f>
        <v>0</v>
      </c>
      <c r="F27" s="7">
        <f>COUNTIFS('Master Requirements Catalogue'!$A$13:$A$220,"&lt;&gt;",'Master Requirements Catalogue'!$H$13:$H$220,"Both",'Master Requirements Catalogue'!$G$13:$G$220,"Not Available")</f>
        <v>0</v>
      </c>
      <c r="G27" s="9">
        <f>COUNTIFS('Master Requirements Catalogue'!$A$13:$A$220,"&lt;&gt;",'Master Requirements Catalogue'!$H$13:$H$220,"Both",'Master Requirements Catalogue'!$G$13:$G$220,"")</f>
        <v>0</v>
      </c>
      <c r="H27" s="7">
        <f t="shared" si="2"/>
        <v>0</v>
      </c>
      <c r="I27" s="9" t="str">
        <f>IFERROR(1-(G27/H27),"")</f>
        <v/>
      </c>
    </row>
    <row r="28" spans="1:9" ht="24" customHeight="1" x14ac:dyDescent="0.35">
      <c r="A28" s="5" t="s">
        <v>692</v>
      </c>
      <c r="B28" s="6" t="s">
        <v>705</v>
      </c>
      <c r="C28" s="9" t="str">
        <f>IFERROR(C27/$H27,"")</f>
        <v/>
      </c>
      <c r="D28" s="9" t="str">
        <f>IFERROR(D27/$H27,"")</f>
        <v/>
      </c>
      <c r="E28" s="9" t="str">
        <f>IFERROR(E27/$H27,"")</f>
        <v/>
      </c>
      <c r="F28" s="9" t="str">
        <f>IFERROR(F27/$H27,"")</f>
        <v/>
      </c>
      <c r="G28" s="9" t="str">
        <f>IFERROR(G27/$H27,"")</f>
        <v/>
      </c>
      <c r="H28" s="9">
        <f t="shared" si="2"/>
        <v>0</v>
      </c>
      <c r="I28" s="9" t="str">
        <f>I27</f>
        <v/>
      </c>
    </row>
    <row r="29" spans="1:9" ht="24" customHeight="1" x14ac:dyDescent="0.35">
      <c r="A29" s="5" t="s">
        <v>702</v>
      </c>
      <c r="B29" s="6" t="s">
        <v>704</v>
      </c>
      <c r="C29" s="7">
        <f>COUNTIFS('Master Requirements Catalogue'!$A$13:$A$220,"&lt;&gt;",'Master Requirements Catalogue'!$H$13:$H$220,"",'Master Requirements Catalogue'!$G$13:$G$220,"Fully Meets")</f>
        <v>0</v>
      </c>
      <c r="D29" s="7">
        <f>COUNTIFS('Master Requirements Catalogue'!$A$13:$A$220,"&lt;&gt;",'Master Requirements Catalogue'!$H$13:$H$220,"",'Master Requirements Catalogue'!$G$13:$G$220,"Meets through Configuration")</f>
        <v>0</v>
      </c>
      <c r="E29" s="7">
        <f>COUNTIFS('Master Requirements Catalogue'!$A$13:$A$220,"&lt;&gt;",'Master Requirements Catalogue'!$H$13:$H$220,"",'Master Requirements Catalogue'!$G$13:$G$220,"Customization Required")</f>
        <v>0</v>
      </c>
      <c r="F29" s="7">
        <f>COUNTIFS('Master Requirements Catalogue'!$A$13:$A$220,"&lt;&gt;",'Master Requirements Catalogue'!$H$13:$H$220,"",'Master Requirements Catalogue'!$G$13:$G$220,"Not Available")</f>
        <v>0</v>
      </c>
      <c r="G29" s="9">
        <f>COUNTIFS('Master Requirements Catalogue'!$A$13:$A$220,"&lt;&gt;",'Master Requirements Catalogue'!$H$13:$H$220,"",'Master Requirements Catalogue'!$G$13:$G$220,"")</f>
        <v>208</v>
      </c>
      <c r="H29" s="7">
        <f t="shared" si="2"/>
        <v>208</v>
      </c>
      <c r="I29" s="9">
        <f>IFERROR(1-(G29/H29),"")</f>
        <v>0</v>
      </c>
    </row>
    <row r="30" spans="1:9" ht="24" customHeight="1" x14ac:dyDescent="0.35">
      <c r="A30" s="5" t="s">
        <v>702</v>
      </c>
      <c r="B30" s="6" t="s">
        <v>705</v>
      </c>
      <c r="C30" s="9">
        <f>IFERROR(C29/$H29,"")</f>
        <v>0</v>
      </c>
      <c r="D30" s="9">
        <f>IFERROR(D29/$H29,"")</f>
        <v>0</v>
      </c>
      <c r="E30" s="9">
        <f>IFERROR(E29/$H29,"")</f>
        <v>0</v>
      </c>
      <c r="F30" s="9">
        <f>IFERROR(F29/$H29,"")</f>
        <v>0</v>
      </c>
      <c r="G30" s="9">
        <f>IFERROR(G29/$H29,"")</f>
        <v>1</v>
      </c>
      <c r="H30" s="9">
        <f t="shared" si="2"/>
        <v>1</v>
      </c>
      <c r="I30" s="9">
        <f>I29</f>
        <v>0</v>
      </c>
    </row>
    <row r="31" spans="1:9" ht="24" customHeight="1" x14ac:dyDescent="0.35"/>
    <row r="32" spans="1:9" ht="24" customHeight="1" x14ac:dyDescent="0.35"/>
    <row r="33" spans="1:9" ht="24" customHeight="1" x14ac:dyDescent="0.35">
      <c r="A33" s="47" t="s">
        <v>707</v>
      </c>
      <c r="B33" s="48"/>
      <c r="C33" s="48"/>
      <c r="D33" s="48"/>
      <c r="E33" s="48"/>
      <c r="F33" s="48"/>
      <c r="G33" s="48"/>
      <c r="H33" s="48"/>
      <c r="I33" s="49"/>
    </row>
    <row r="34" spans="1:9" ht="24" customHeight="1" x14ac:dyDescent="0.35">
      <c r="A34" s="3" t="s">
        <v>8</v>
      </c>
      <c r="B34" s="4" t="s">
        <v>676</v>
      </c>
      <c r="C34" s="4" t="s">
        <v>685</v>
      </c>
      <c r="D34" s="4" t="s">
        <v>688</v>
      </c>
      <c r="E34" s="4" t="s">
        <v>691</v>
      </c>
      <c r="F34" s="4" t="s">
        <v>693</v>
      </c>
      <c r="G34" s="4" t="s">
        <v>702</v>
      </c>
      <c r="H34" s="4" t="s">
        <v>696</v>
      </c>
      <c r="I34" s="4" t="s">
        <v>703</v>
      </c>
    </row>
    <row r="35" spans="1:9" ht="24" customHeight="1" x14ac:dyDescent="0.35">
      <c r="A35" s="5" t="s">
        <v>687</v>
      </c>
      <c r="B35" s="6" t="s">
        <v>704</v>
      </c>
      <c r="C35" s="7">
        <f>COUNTIFS('Master Requirements Catalogue'!$A$13:$A$220,"&lt;&gt;",'Master Requirements Catalogue'!$I$13:$I$220,"Yes",'Master Requirements Catalogue'!$G$13:$G$220,"Fully Meets")</f>
        <v>0</v>
      </c>
      <c r="D35" s="7">
        <f>COUNTIFS('Master Requirements Catalogue'!$A$13:$A$220,"&lt;&gt;",'Master Requirements Catalogue'!$I$13:$I$220,"Yes",'Master Requirements Catalogue'!$G$13:$G$220,"Meets through Configuration")</f>
        <v>0</v>
      </c>
      <c r="E35" s="7">
        <f>COUNTIFS('Master Requirements Catalogue'!$A$13:$A$220,"&lt;&gt;",'Master Requirements Catalogue'!$I$13:$I$220,"Yes",'Master Requirements Catalogue'!$G$13:$G$220,"Customization Required")</f>
        <v>0</v>
      </c>
      <c r="F35" s="7">
        <f>COUNTIFS('Master Requirements Catalogue'!$A$13:$A$220,"&lt;&gt;",'Master Requirements Catalogue'!$I$13:$I$220,"Yes",'Master Requirements Catalogue'!$G$13:$G$220,"Not Available")</f>
        <v>0</v>
      </c>
      <c r="G35" s="9">
        <f>COUNTIFS('Master Requirements Catalogue'!$A$13:$A$220,"&lt;&gt;",'Master Requirements Catalogue'!$I$13:$I$220,"Yes",'Master Requirements Catalogue'!$G$13:$G$220,"")</f>
        <v>0</v>
      </c>
      <c r="H35" s="7">
        <f t="shared" ref="H35:H40" si="3">SUM(C35:G35)</f>
        <v>0</v>
      </c>
      <c r="I35" s="9" t="str">
        <f>IFERROR(1-(G35/H35),"")</f>
        <v/>
      </c>
    </row>
    <row r="36" spans="1:9" ht="24" customHeight="1" x14ac:dyDescent="0.35">
      <c r="A36" s="5" t="s">
        <v>687</v>
      </c>
      <c r="B36" s="6" t="s">
        <v>705</v>
      </c>
      <c r="C36" s="9" t="str">
        <f>IFERROR(C35/$H35,"")</f>
        <v/>
      </c>
      <c r="D36" s="9" t="str">
        <f>IFERROR(D35/$H35,"")</f>
        <v/>
      </c>
      <c r="E36" s="9" t="str">
        <f>IFERROR(E35/$H35,"")</f>
        <v/>
      </c>
      <c r="F36" s="9" t="str">
        <f>IFERROR(F35/$H35,"")</f>
        <v/>
      </c>
      <c r="G36" s="9" t="str">
        <f>IFERROR(G35/$H35,"")</f>
        <v/>
      </c>
      <c r="H36" s="9">
        <f t="shared" si="3"/>
        <v>0</v>
      </c>
      <c r="I36" s="9" t="str">
        <f>I35</f>
        <v/>
      </c>
    </row>
    <row r="37" spans="1:9" ht="24" customHeight="1" x14ac:dyDescent="0.35">
      <c r="A37" s="5" t="s">
        <v>690</v>
      </c>
      <c r="B37" s="6" t="s">
        <v>704</v>
      </c>
      <c r="C37" s="7">
        <f>COUNTIFS('Master Requirements Catalogue'!$A$13:$A$220,"&lt;&gt;",'Master Requirements Catalogue'!$I$13:$I$220,"No",'Master Requirements Catalogue'!$G$13:$G$220,"Fully Meets")</f>
        <v>0</v>
      </c>
      <c r="D37" s="7">
        <f>COUNTIFS('Master Requirements Catalogue'!$A$13:$A$220,"&lt;&gt;",'Master Requirements Catalogue'!$I$13:$I$220,"No",'Master Requirements Catalogue'!$G$13:$G$220,"Meets through Configuration")</f>
        <v>0</v>
      </c>
      <c r="E37" s="7">
        <f>COUNTIFS('Master Requirements Catalogue'!$A$13:$A$220,"&lt;&gt;",'Master Requirements Catalogue'!$I$13:$I$220,"No",'Master Requirements Catalogue'!$G$13:$G$220,"Customization Required")</f>
        <v>0</v>
      </c>
      <c r="F37" s="7">
        <f>COUNTIFS('Master Requirements Catalogue'!$A$13:$A$220,"&lt;&gt;",'Master Requirements Catalogue'!$I$13:$I$220,"No",'Master Requirements Catalogue'!$G$13:$G$220,"Not Available")</f>
        <v>0</v>
      </c>
      <c r="G37" s="9">
        <f>COUNTIFS('Master Requirements Catalogue'!$A$13:$A$220,"&lt;&gt;",'Master Requirements Catalogue'!$I$13:$I$220,"No",'Master Requirements Catalogue'!$G$13:$G$220,"")</f>
        <v>0</v>
      </c>
      <c r="H37" s="7">
        <f t="shared" si="3"/>
        <v>0</v>
      </c>
      <c r="I37" s="9" t="str">
        <f>IFERROR(1-(G37/H37),"")</f>
        <v/>
      </c>
    </row>
    <row r="38" spans="1:9" ht="24" customHeight="1" x14ac:dyDescent="0.35">
      <c r="A38" s="5" t="s">
        <v>690</v>
      </c>
      <c r="B38" s="6" t="s">
        <v>705</v>
      </c>
      <c r="C38" s="9" t="str">
        <f>IFERROR(C37/$H37,"")</f>
        <v/>
      </c>
      <c r="D38" s="9" t="str">
        <f>IFERROR(D37/$H37,"")</f>
        <v/>
      </c>
      <c r="E38" s="9" t="str">
        <f>IFERROR(E37/$H37,"")</f>
        <v/>
      </c>
      <c r="F38" s="9" t="str">
        <f>IFERROR(F37/$H37,"")</f>
        <v/>
      </c>
      <c r="G38" s="9" t="str">
        <f>IFERROR(G37/$H37,"")</f>
        <v/>
      </c>
      <c r="H38" s="9">
        <f t="shared" si="3"/>
        <v>0</v>
      </c>
      <c r="I38" s="9" t="str">
        <f>I37</f>
        <v/>
      </c>
    </row>
    <row r="39" spans="1:9" ht="24" customHeight="1" x14ac:dyDescent="0.35">
      <c r="A39" s="5" t="s">
        <v>702</v>
      </c>
      <c r="B39" s="6" t="s">
        <v>704</v>
      </c>
      <c r="C39" s="7">
        <f>COUNTIFS('Master Requirements Catalogue'!$A$13:$A$220,"&lt;&gt;",'Master Requirements Catalogue'!$I$13:$I$220,"",'Master Requirements Catalogue'!$G$13:$G$220,"Fully Meets")</f>
        <v>0</v>
      </c>
      <c r="D39" s="7">
        <f>COUNTIFS('Master Requirements Catalogue'!$A$13:$A$220,"&lt;&gt;",'Master Requirements Catalogue'!$I$13:$I$220,"",'Master Requirements Catalogue'!$G$13:$G$220,"Meets through Configuration")</f>
        <v>0</v>
      </c>
      <c r="E39" s="7">
        <f>COUNTIFS('Master Requirements Catalogue'!$A$13:$A$220,"&lt;&gt;",'Master Requirements Catalogue'!$I$13:$I$220,"",'Master Requirements Catalogue'!$G$13:$G$220,"Customization Required")</f>
        <v>0</v>
      </c>
      <c r="F39" s="7">
        <f>COUNTIFS('Master Requirements Catalogue'!$A$13:$A$220,"&lt;&gt;",'Master Requirements Catalogue'!$I$13:$I$220,"",'Master Requirements Catalogue'!$G$13:$G$220,"Not Available")</f>
        <v>0</v>
      </c>
      <c r="G39" s="9">
        <f>COUNTIFS('Master Requirements Catalogue'!$A$13:$A$220,"&lt;&gt;",'Master Requirements Catalogue'!$I$13:$I$220,"",'Master Requirements Catalogue'!$G$13:$G$220,"")</f>
        <v>208</v>
      </c>
      <c r="H39" s="7">
        <f t="shared" si="3"/>
        <v>208</v>
      </c>
      <c r="I39" s="9">
        <f>IFERROR(1-(G39/H39),"")</f>
        <v>0</v>
      </c>
    </row>
    <row r="40" spans="1:9" ht="24" customHeight="1" x14ac:dyDescent="0.35">
      <c r="A40" s="5" t="s">
        <v>702</v>
      </c>
      <c r="B40" s="6" t="s">
        <v>705</v>
      </c>
      <c r="C40" s="9">
        <f>IFERROR(C39/$H39,"")</f>
        <v>0</v>
      </c>
      <c r="D40" s="9">
        <f>IFERROR(D39/$H39,"")</f>
        <v>0</v>
      </c>
      <c r="E40" s="9">
        <f>IFERROR(E39/$H39,"")</f>
        <v>0</v>
      </c>
      <c r="F40" s="9">
        <f>IFERROR(F39/$H39,"")</f>
        <v>0</v>
      </c>
      <c r="G40" s="9">
        <f>IFERROR(G39/$H39,"")</f>
        <v>1</v>
      </c>
      <c r="H40" s="9">
        <f t="shared" si="3"/>
        <v>1</v>
      </c>
      <c r="I40" s="9">
        <f>I39</f>
        <v>0</v>
      </c>
    </row>
    <row r="41" spans="1:9" ht="24" customHeight="1" x14ac:dyDescent="0.35"/>
  </sheetData>
  <mergeCells count="4">
    <mergeCell ref="A21:I21"/>
    <mergeCell ref="A33:I33"/>
    <mergeCell ref="A1:G1"/>
    <mergeCell ref="A11:I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 </vt:lpstr>
      <vt:lpstr>Master Requirements Catalogue</vt:lpstr>
      <vt:lpstr>Catalogue Summary</vt:lpstr>
      <vt:lpstr>Taxonomy Sheet</vt:lpstr>
      <vt:lpstr>Analytics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Bhaskar Mishra</dc:creator>
  <cp:keywords/>
  <dc:description/>
  <cp:lastModifiedBy>Bhaskar Mishra</cp:lastModifiedBy>
  <cp:revision/>
  <dcterms:created xsi:type="dcterms:W3CDTF">2026-07-11T14:34:32Z</dcterms:created>
  <dcterms:modified xsi:type="dcterms:W3CDTF">2026-07-12T05:55:19Z</dcterms:modified>
  <cp:category/>
  <cp:contentStatus/>
</cp:coreProperties>
</file>